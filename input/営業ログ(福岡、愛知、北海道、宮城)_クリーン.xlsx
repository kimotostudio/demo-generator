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福岡" sheetId="2" r:id="rId6"/>
    <sheet state="visible" name="愛知" sheetId="3" r:id="rId7"/>
    <sheet state="visible" name="東北" sheetId="4" r:id="rId8"/>
  </sheets>
  <definedNames/>
  <calcPr/>
</workbook>
</file>

<file path=xl/sharedStrings.xml><?xml version="1.0" encoding="utf-8"?>
<sst xmlns="http://schemas.openxmlformats.org/spreadsheetml/2006/main" count="740" uniqueCount="538">
  <si>
    <t>id</t>
  </si>
  <si>
    <t>店名</t>
  </si>
  <si>
    <t>メアド</t>
  </si>
  <si>
    <t>url(デモ)</t>
  </si>
  <si>
    <t>url(完成)</t>
  </si>
  <si>
    <t>password</t>
  </si>
  <si>
    <t>ステータス(0-4)</t>
  </si>
  <si>
    <t>0 送る前</t>
  </si>
  <si>
    <t>idは07000から</t>
  </si>
  <si>
    <t>福岡</t>
  </si>
  <si>
    <t>愛知</t>
  </si>
  <si>
    <t>東北</t>
  </si>
  <si>
    <t>名称</t>
  </si>
  <si>
    <t>URL</t>
  </si>
  <si>
    <t>Web評価</t>
  </si>
  <si>
    <t>判定コメント/特徴</t>
  </si>
  <si>
    <t>福岡臨床心理オフィス（福岡心理カウンセリングオフィス）</t>
  </si>
  <si>
    <t>https://fukuoka-cp-office.com/</t>
  </si>
  <si>
    <t>◎</t>
  </si>
  <si>
    <t>独自ドメインで構成整理・情報充実だがデザイン古めでスマホ対応に改善余地／完全予約制・博多駅筑紫口徒歩5分</t>
  </si>
  <si>
    <t>オフィスアムコス</t>
  </si>
  <si>
    <t>https://officeamukos.com/</t>
  </si>
  <si>
    <t>独自ドメインで構成整理・情報充実だがデザイン古めでスマホ対応に改善余地</t>
  </si>
  <si>
    <t>訪問心理ステーション大阪（福岡支店）</t>
  </si>
  <si>
    <t>https://www.houmonshinri-station.jp/</t>
  </si>
  <si>
    <t>ハーベア（フィトセラピーサロン）</t>
  </si>
  <si>
    <t>http://herbear.jp/salon/</t>
  </si>
  <si>
    <t>△</t>
  </si>
  <si>
    <t>独自ドメインだが構成が簡素で情報が不十分</t>
  </si>
  <si>
    <t>プライベートサロン「フィリア」＆チャネリング</t>
  </si>
  <si>
    <t>https://yamashitamiki.com/private-salon-menu/</t>
  </si>
  <si>
    <t>癒楽(ユラ)</t>
  </si>
  <si>
    <t>https://beauty.hotpepper.jp/kr/slnH000670718/</t>
  </si>
  <si>
    <t>ホットペッパーのみ掲載で独立サイトがなく改善余地が大きい</t>
  </si>
  <si>
    <t>志岐カウンセリングオフィス</t>
  </si>
  <si>
    <t>https://www.shiki-counseling.com/goaisastu</t>
  </si>
  <si>
    <t>こころRyu</t>
  </si>
  <si>
    <t>https://mentalhealth-ryu.jp/blog</t>
  </si>
  <si>
    <t>ブログ形式で情報が散在している</t>
  </si>
  <si>
    <t>充実生活社</t>
  </si>
  <si>
    <t>http://www.websp01.com/jyujitu/</t>
  </si>
  <si>
    <t>情報が散在しナビゲーションが不明確</t>
  </si>
  <si>
    <t>薬草の森 はくすい堂</t>
  </si>
  <si>
    <t>https://reserva.be/hakusuido/about</t>
  </si>
  <si>
    <t>予約システム中心で独立サイトがなく改善余地が大きい</t>
  </si>
  <si>
    <t>ひと息倶楽部（女性専用カウンセリング）</t>
  </si>
  <si>
    <t>https://www.hitoikiclub.com/</t>
  </si>
  <si>
    <t>臨床心理シランの室</t>
  </si>
  <si>
    <t>https://tt0330-kam.com/female</t>
  </si>
  <si>
    <t>メンタルサロン 芦田ジュン</t>
  </si>
  <si>
    <t>https://ashidamentalsalon.com/</t>
  </si>
  <si>
    <t>小倉南区ヒーリングサロンさえ</t>
  </si>
  <si>
    <t>https://sae38.com/</t>
  </si>
  <si>
    <t>セラピーやよし（弥吉）</t>
  </si>
  <si>
    <t>https://yayoshi.jp/</t>
  </si>
  <si>
    <t>Office smile therapy</t>
  </si>
  <si>
    <t>https://coubic.com/smiletherapy</t>
  </si>
  <si>
    <t>本来の自分に覚醒 自分開花カウンセラー Chieko</t>
  </si>
  <si>
    <t>https://www.ameba.jp/profile/general/clary-clary/</t>
  </si>
  <si>
    <t>Amebaブログのみで公式サイト整備がなく改善余地が非常に大きい</t>
  </si>
  <si>
    <t>メンタルサポートグループ久留米</t>
  </si>
  <si>
    <t>https://jmty.jp/fukuoka/ser-cons/article-ay7s3?srsltid=AfmBOopn3q6YfRSB3HL610SoSFQ98eAHlAmpS7WKqVAhjBKBFW1mkba4</t>
  </si>
  <si>
    <t>ポータル掲載のみで独立サイトがなく改善余地が大きい</t>
  </si>
  <si>
    <t>Healing Therapy Salon チオリ</t>
  </si>
  <si>
    <t>https://chiori1118.com/</t>
  </si>
  <si>
    <t>独自ドメインで構成整理・情報充実かつデザイン比較的新しくスマホ対応も良好</t>
  </si>
  <si>
    <t>セラピーサロン ＊サラの庭＊ Sarah's Garden</t>
  </si>
  <si>
    <t>https://fairy-sarah.amebaownd.com/</t>
  </si>
  <si>
    <t>Amebaownd無料版テンプレで構成されWeb改善余地が大きい</t>
  </si>
  <si>
    <t>private salon chill（チル）</t>
  </si>
  <si>
    <t>https://www.privatesalon-chill.com/achievement/</t>
  </si>
  <si>
    <t>Hanabusa日和（保育ピアノサポート）</t>
  </si>
  <si>
    <t>https://hanabusa-music.com/blog/542/</t>
  </si>
  <si>
    <t>スタジオリカクリニック</t>
  </si>
  <si>
    <t>https://www.rikaclinic.jp/</t>
  </si>
  <si>
    <t>医療機関で個人運営ではない可能性があるため営業対象として要精査</t>
  </si>
  <si>
    <t>メンタルケアサロン心の翼 筑紫野二日市店</t>
  </si>
  <si>
    <t>https://www.ekiten.jp/shop_84471545/</t>
  </si>
  <si>
    <t>整骨院フーニ</t>
  </si>
  <si>
    <t>https://seikotsuin-funi.net/</t>
  </si>
  <si>
    <t>オヤム(oyam)</t>
  </si>
  <si>
    <t>https://beauty.hotpepper.jp/kr/slnH000695557/</t>
  </si>
  <si>
    <t>OFFICE GEKKOU</t>
  </si>
  <si>
    <t>https://office-gekkou.com/</t>
  </si>
  <si>
    <t>○</t>
  </si>
  <si>
    <t>完全予約制, 対面・電話・訪問カウンセリング, 個人運営</t>
  </si>
  <si>
    <t>市川カウンセリングオフィス</t>
  </si>
  <si>
    <t>https://www.kokoro-care.com/</t>
  </si>
  <si>
    <t>完全予約制, 公認心理師・臨床心理士, 個人・家族・出張カウンセリング</t>
  </si>
  <si>
    <t>カウンセリングオフィスplum</t>
  </si>
  <si>
    <t>https://counseling-plum.com/</t>
  </si>
  <si>
    <t>完全予約制, 個室対応</t>
  </si>
  <si>
    <t>吉塚臨床心理相談室</t>
  </si>
  <si>
    <t>https://www.yoshizuka-rinsyoshinri.com/</t>
  </si>
  <si>
    <t>完全予約制, 公認心理師・臨床心理士</t>
  </si>
  <si>
    <t>アイブイエフ詠田クリニック心理カウンセリング</t>
  </si>
  <si>
    <t>https://www.ivf-nagata.com/counseling.html</t>
  </si>
  <si>
    <t>完全予約制, 2日前までに要予約（クリニック併設）</t>
  </si>
  <si>
    <t>浩氣館道場</t>
  </si>
  <si>
    <t>https://www.s-grid-fukuoka.com/blank-15</t>
  </si>
  <si>
    <t>身心の統一, 人間力育成, マインドフルネス対応（情報量少なめ）</t>
  </si>
  <si>
    <t>占い処 古事庵</t>
  </si>
  <si>
    <t>http://www.kojian.jp/</t>
  </si>
  <si>
    <t>完全予約制, 複数占い師在籍, 霊感・霊視占い専門</t>
  </si>
  <si>
    <t>甲易堂</t>
  </si>
  <si>
    <t>ポータルサイト掲載のみ（独立サイト未確認）</t>
  </si>
  <si>
    <t>東京・福岡タロット占いラーヤコンサルティング</t>
  </si>
  <si>
    <t>https://www.layah.com/</t>
  </si>
  <si>
    <t>タロット占い, 霊視, 経営者・働く女性専門</t>
  </si>
  <si>
    <t>スピリチュアルサロン珠清</t>
  </si>
  <si>
    <t>https://jusei.info/</t>
  </si>
  <si>
    <t>霊感霊視, タロット, 思念伝達, 経営者向け</t>
  </si>
  <si>
    <t>Brave Meditation</t>
  </si>
  <si>
    <t>https://bravemdt.com/</t>
  </si>
  <si>
    <t>マインドフルネス瞑想, 対面・オンライン講座, プライベートセッション</t>
  </si>
  <si>
    <t>瞑想ヨガスタジオOasis</t>
  </si>
  <si>
    <t>https://oasis-yoga.com/</t>
  </si>
  <si>
    <t>瞑想, ヨガ, 心身調整, 閑静な住宅街</t>
  </si>
  <si>
    <t>癒しサロン APPLAUSE</t>
  </si>
  <si>
    <t>https://setsuritsu-senmon.com/fukuoka/15591</t>
  </si>
  <si>
    <t>レイキハンドヒーリング, 経営者向け（ポータルサイト掲載）</t>
  </si>
  <si>
    <t>Ka-Fu</t>
  </si>
  <si>
    <t>https://ka-fuu.com/</t>
  </si>
  <si>
    <t>アロマテラピー, 自然の恵み重視</t>
  </si>
  <si>
    <t>ハーブ&amp;アロマ教室</t>
  </si>
  <si>
    <t>https://marialeaf.com/</t>
  </si>
  <si>
    <t>ハーブ&amp;アロマ, 日本メディカルハーブ協会認定校</t>
  </si>
  <si>
    <t>マインドフルネス（heal-the-world）</t>
  </si>
  <si>
    <t>https://heal-the-world.amebaownd.com/</t>
  </si>
  <si>
    <t>セールストレーニング, 能力開発, コーチング, カウンセリング（Amebaownd）</t>
  </si>
  <si>
    <t>柊木匠公式HP</t>
  </si>
  <si>
    <t>https://www.hiiragi-takumi.com/</t>
  </si>
  <si>
    <t>物理学者・心理学者, 個人カウンセリング, レイキ伝授</t>
  </si>
  <si>
    <t>ナルシス</t>
  </si>
  <si>
    <t>https://beauty.hotpepper.jp/kr/slnH000723685/</t>
  </si>
  <si>
    <t>完全予約制, 不定休（ホットペッパーのみ）</t>
  </si>
  <si>
    <t>Walea -ワレア-</t>
  </si>
  <si>
    <t>https://walea-suumin.com/</t>
  </si>
  <si>
    <t>プライベートエステサロン, 完全予約制, 女性専用</t>
  </si>
  <si>
    <t>プライベートサロン Rtam</t>
  </si>
  <si>
    <t>https://mise-repo.com/12415/</t>
  </si>
  <si>
    <t>完全予約制, オーダーメイド施術（ポータルサイト掲載）</t>
  </si>
  <si>
    <t>plaisir</t>
  </si>
  <si>
    <t>https://plaisir-bustsalon.com/</t>
  </si>
  <si>
    <t>バストアップ, 完全予約制, 完全個室</t>
  </si>
  <si>
    <t>トータルビューティーシェアサロン～Wa～ artemisia/L</t>
  </si>
  <si>
    <t>https://artemisia1001.amebaownd.com/</t>
  </si>
  <si>
    <t>ヒーリング, カウンセリング込み, ハーブセラピー（Amebaownd）</t>
  </si>
  <si>
    <t>臓活サロンBless</t>
  </si>
  <si>
    <t>https://salonbless.com/</t>
  </si>
  <si>
    <t>プライベートサロン, ストレス軽減（ブログ中心）</t>
  </si>
  <si>
    <t>キャリアアップコーチング</t>
  </si>
  <si>
    <t>https://www.careermind.jp/</t>
  </si>
  <si>
    <t>個人向けサービス, 目標達成支援</t>
  </si>
  <si>
    <t>ベストライフコーチング</t>
  </si>
  <si>
    <t>https://bestlife-coaching.com/</t>
  </si>
  <si>
    <t>個人向けコーチング, 電話・Skype・Zoom対応</t>
  </si>
  <si>
    <t>コーチアプローチファシリテーター連盟（CAF連盟）</t>
  </si>
  <si>
    <t>https://hakatacaf1408.webnode.jp/</t>
  </si>
  <si>
    <t>個人エンパワーメント, ファシリテーション（Webnode）</t>
  </si>
  <si>
    <t>ワーク・ライフバランス「しごとと」</t>
  </si>
  <si>
    <t>https://www.shigototowatashi.com/</t>
  </si>
  <si>
    <t>個人向けコーチングセッション, 30分～</t>
  </si>
  <si>
    <t>マネジメントヘルスケアア協会（福岡）</t>
  </si>
  <si>
    <t>https://kenkomind.com/</t>
  </si>
  <si>
    <t>マインドフルネス体験セッション, モニター募集</t>
  </si>
  <si>
    <t>美咲花ヒーリングスクール（福岡）</t>
  </si>
  <si>
    <t>https://www.bishoka.com/</t>
  </si>
  <si>
    <t>癒しサロン開業コース, ブランディング・集客指導</t>
  </si>
  <si>
    <t>ウインドイーラヒーリング（東京・福岡）</t>
  </si>
  <si>
    <t>https://salalablog.exblog.jp/</t>
  </si>
  <si>
    <t>ヘッドスパスクール, サロンオーナー向け勉強会（ExBlog）</t>
  </si>
  <si>
    <t>在宅・訪問マッサージ どりいむ</t>
  </si>
  <si>
    <t>https://www.h-dreams.com/</t>
  </si>
  <si>
    <t>傾聴セラピー, 訪問サービス</t>
  </si>
  <si>
    <t>セラピールームcocorise（ココリセ）</t>
  </si>
  <si>
    <t>https://www.cocorise.com/</t>
  </si>
  <si>
    <t>独立ドメイン／2009年開業／心理セラピー・カウンセリング・ファミリーコンステレーション／比較的充実</t>
  </si>
  <si>
    <t>癒しの総合サロンNilfa（ニルファ）</t>
  </si>
  <si>
    <t>https://www.nilfatherapist.com/</t>
  </si>
  <si>
    <t>自宅サロン／出張・オンライン対応／心理カウンセリング・ヒプノ・ヒーリング・カラー・アロマ・スピリチュアル／比較的充実</t>
  </si>
  <si>
    <t>小倉臨床心理相談室</t>
  </si>
  <si>
    <t>https://kokurapsychanalyse.jpn.org/</t>
  </si>
  <si>
    <t>精神分析とカウンセリング専門／完全予約制／基本情報のみ</t>
  </si>
  <si>
    <t>心理カウンセリング ほたる</t>
  </si>
  <si>
    <t>https://www.ekiten.jp/shop_40874162/</t>
  </si>
  <si>
    <t>完全予約制／プライベート空間／ポータルサイト掲載のみ（エキテン）</t>
  </si>
  <si>
    <t>こころリラクゼーションスペース Self-esteem（セルフ・エスティーム）</t>
  </si>
  <si>
    <t>https://reserva.be/selfesteem/about</t>
  </si>
  <si>
    <t>完全予約制／予約システム利用（RESERVA）／予約サイト中心</t>
  </si>
  <si>
    <t>占い船ホヌ</t>
  </si>
  <si>
    <t>https://www.uranaisenhonu.com/</t>
  </si>
  <si>
    <t>独立ドメイン／算命学・タロット・ルノルマン／完全予約制／全国オンライン対応／比較的充実</t>
  </si>
  <si>
    <t>愛理の占い（プライベートサロン）</t>
  </si>
  <si>
    <t>http://airinouranai.com/</t>
  </si>
  <si>
    <t>女性専用／完全予約制／プライベートサロン／基本情報のみ</t>
  </si>
  <si>
    <t>占いサロン ロバのみみ</t>
  </si>
  <si>
    <t>http://uranai-robanomimi.com/</t>
  </si>
  <si>
    <t>四柱推命・手相・方位・姓名判断・東洋タロット／心理学融合／基本情報のみ</t>
  </si>
  <si>
    <t>セラピストKOTOMIの占い＆心理</t>
  </si>
  <si>
    <t>https://kty33.crayonsite.net/</t>
  </si>
  <si>
    <t>個人鑑定／占い・スピリチュアルカウンセリング・TCカラー／LINE予約／無料HP作成サービス（Crayon）</t>
  </si>
  <si>
    <t>北九州小倉スピリチュアル癒美座（イビザ）</t>
  </si>
  <si>
    <t>https://spiritual-master.biz/</t>
  </si>
  <si>
    <t>美脳活性・色彩波動・遠隔ヒーリング・エネルギーワーク／基本情報のみ</t>
  </si>
  <si>
    <t>Dear H（ディアエイチ）</t>
  </si>
  <si>
    <t>https://www.dear-h.com/</t>
  </si>
  <si>
    <t>リーディング・ヒーリング・ボディマッサージ／波動調整／基本情報のみ</t>
  </si>
  <si>
    <t>アロマサロン ジャタマンシ</t>
  </si>
  <si>
    <t>https://aromajatamansi.com/</t>
  </si>
  <si>
    <t>独立ドメイン／2006年開業／IFA認定アロマセラピスト／女性専用／完全予約制／比較的充実</t>
  </si>
  <si>
    <t>アロマタッチサロン 繋</t>
  </si>
  <si>
    <t>https://aromatouch-tsunagu.crayonsite.info/</t>
  </si>
  <si>
    <t>一軒家サロン／1日4組まで／完全予約制／無料HP作成サービス（Crayon）</t>
  </si>
  <si>
    <t>Body Care Salon 822</t>
  </si>
  <si>
    <t>https://www.bodycaresalon-822.com/</t>
  </si>
  <si>
    <t>完全予約制／LINE対応／基本情報のみ</t>
  </si>
  <si>
    <t>リセットヨガ（ロータスブルーム）</t>
  </si>
  <si>
    <t>https://hotyogalotusbloom.jp/program/reset-yoga/</t>
  </si>
  <si>
    <t>本格派ヨガスタジオ／フライハイヨガ／比較的充実</t>
  </si>
  <si>
    <t>ダイエットサロン スパイルソーレ</t>
  </si>
  <si>
    <t>https://clarayoga.net/yoga</t>
  </si>
  <si>
    <t>マタニティヨガ・産後ヨガ・個人レッスン／基本情報のみ</t>
  </si>
  <si>
    <t>灯（ともしび）カウンセリング</t>
  </si>
  <si>
    <t>https://tomoshibi-room.jimdosite.com/</t>
  </si>
  <si>
    <t>Jimdoサイト／完全予約制／カウンセリング専門／代表:山口敏晃／初回50分8,800円／月-金10:00-20:00・土日10:00-17:00</t>
  </si>
  <si>
    <t>久留米 占い Plan_B</t>
  </si>
  <si>
    <t>https://planb.press/</t>
  </si>
  <si>
    <t>個人鑑定／50分10,000円／Web構成充実</t>
  </si>
  <si>
    <t>岡野式神気ヒーリングサロン</t>
  </si>
  <si>
    <t>https://shinki-healing.com/</t>
  </si>
  <si>
    <t>ヒーリング／除霊／霊視／占い／スピリチュアル／15分3,000円〜</t>
  </si>
  <si>
    <t>あいのわアロマ&amp;ヒーリングスペース</t>
  </si>
  <si>
    <t>https://www.ainowaaroma.com/</t>
  </si>
  <si>
    <t>アロマセラピー／レイキヒーリング／会員制（入会金11,000円・年会費3,300円）</t>
  </si>
  <si>
    <t>カウンセリングルーム「エルピス」</t>
  </si>
  <si>
    <t>https://mellifluous-melba-13f748.netlify.app/</t>
  </si>
  <si>
    <t>倉永病院内（記載）／公認心理師・臨床心理士在籍／完全予約制／初回90分5,000円・継続45分3,000円</t>
  </si>
  <si>
    <t>ソフィア（大牟田市）</t>
  </si>
  <si>
    <t>https://www.sophia-omuta.com/</t>
  </si>
  <si>
    <t>カウンセリング／心理検査／予約制</t>
  </si>
  <si>
    <t>オリーブカイロプラクティック</t>
  </si>
  <si>
    <t>http://olivechiro.com/hypno</t>
  </si>
  <si>
    <t>心理セラピー／対面・ZOOM／完全予約制／無料相談30分／初回60分7,700円／3回セット66,000円</t>
  </si>
  <si>
    <t>Medical Salon K.STELLA</t>
  </si>
  <si>
    <t>https://beauty.hotpepper.jp/kr/slnH000558273/</t>
  </si>
  <si>
    <t>脳内エステ／完全予約制／10:00-20:00</t>
  </si>
  <si>
    <t>こころの相談センター</t>
  </si>
  <si>
    <t>https://my-best.com/18277</t>
  </si>
  <si>
    <t>無料電話相談可（記載）／完全予約制／個人初回5,500円・ペア初回8,800円／土10:00-19:00・日10:00-16:00</t>
  </si>
  <si>
    <t>こころんカラー【cocolorn color】</t>
  </si>
  <si>
    <t>https://www.cocolorn-color.info/</t>
  </si>
  <si>
    <t>パーソナルカラー診断／カラーアートセラピー／パステルアート／完全予約制</t>
  </si>
  <si>
    <t>ゆうメンタルクリニック</t>
  </si>
  <si>
    <t>https://www.yu-mentalclinic.com/</t>
  </si>
  <si>
    <t>心療内科／精神科／カウンセリング重視（記載）</t>
  </si>
  <si>
    <t>みなもいとしま（学習支援）</t>
  </si>
  <si>
    <t>https://www.minamoitoshima.com/counseling</t>
  </si>
  <si>
    <t>個別相談／カウンセリング／完全予約制</t>
  </si>
  <si>
    <t>リトリートサロンいらよい</t>
  </si>
  <si>
    <t>https://irayoi.com/voice</t>
  </si>
  <si>
    <t>マッサージ／傾聴／セラピー</t>
  </si>
  <si>
    <t>いとすき（傾聴力アップ講座）</t>
  </si>
  <si>
    <t>https://itosuki.jimdofree.com/</t>
  </si>
  <si>
    <t>傾聴力講座／完全予約制</t>
  </si>
  <si>
    <t>ヒーリングサロン MANA</t>
  </si>
  <si>
    <t>https://www.healingsalon-mana.net/</t>
  </si>
  <si>
    <t>霊感タロット／霊感ヒーリング／鑑定／講座／完全予約制／LINE予約／駐車場2台（記載）</t>
  </si>
  <si>
    <t>salon結(yui)</t>
  </si>
  <si>
    <t>https://beauty.hotpepper.jp/kr/slnH000752909/</t>
  </si>
  <si>
    <t>完全予約制／10:00-20:00（最終受付18:00）</t>
  </si>
  <si>
    <t>ココリセ（Cocorise）</t>
  </si>
  <si>
    <t>https://www.cocorise.com/about/</t>
  </si>
  <si>
    <t>カウンセリング／セラピー／完全予約制／10:00-21:00（記載）</t>
  </si>
  <si>
    <t>福岡県の夫婦カウンセリング（Tially）</t>
  </si>
  <si>
    <t>https://www.tially.jp/fukuoka/</t>
  </si>
  <si>
    <t>夫婦カウンセリング／完全予約制</t>
  </si>
  <si>
    <t>ココロパートナーズ</t>
  </si>
  <si>
    <t>https://cocoro-pt.com/</t>
  </si>
  <si>
    <t>カウンセリング／カップルカウンセリング／オンライン対応／50分3,850円</t>
  </si>
  <si>
    <t>特徴/メモ</t>
  </si>
  <si>
    <t>ながせ心理相談室</t>
  </si>
  <si>
    <t>https://www.nagoya-counseling.info/</t>
  </si>
  <si>
    <t>臨床心理士／完全予約制／Web構成・情報整理良好</t>
  </si>
  <si>
    <t>ルーセントメンタルヘルスマネジメント（LMM）</t>
  </si>
  <si>
    <t>https://www.lucent-mental.com/counseling/</t>
  </si>
  <si>
    <t>臨床心理士・公認心理師／名駅直結／法人色あり</t>
  </si>
  <si>
    <t>本郷こころのカウンセリングセンター</t>
  </si>
  <si>
    <t>https://hongo-kokoro.com/</t>
  </si>
  <si>
    <t>臨床心理士／オンライン対応／料金明確</t>
  </si>
  <si>
    <t>こころの専門家 ココロノオト</t>
  </si>
  <si>
    <t>https://www.kokorosound.com/</t>
  </si>
  <si>
    <t>女性専用／完全予約制／多様な相談形式</t>
  </si>
  <si>
    <t>自律神経ケアサロン lani</t>
  </si>
  <si>
    <t>https://lani-nagoya.com/</t>
  </si>
  <si>
    <t>自律神経ケア／個人サロン／独立ドメイン</t>
  </si>
  <si>
    <t>アロマテラピー&amp;アーユルヴェーダ ラコスタ</t>
  </si>
  <si>
    <t>http://salondelacosta.com/</t>
  </si>
  <si>
    <t>女性専用／完全予約制／Web構成良好</t>
  </si>
  <si>
    <t>名古屋スピリチュアルカウンセリング</t>
  </si>
  <si>
    <t>https://uranai-1to1.com/</t>
  </si>
  <si>
    <t>霊視・オーラ鑑定／独立ドメイン</t>
  </si>
  <si>
    <t>アロマヒーリングサロンPasion</t>
  </si>
  <si>
    <t>https://reserva.be/pasion/about</t>
  </si>
  <si>
    <t>女性専用／予約システム中心だが情報整理良好</t>
  </si>
  <si>
    <t>カウンセリング*スペース こころの気持ち</t>
  </si>
  <si>
    <t>https://www.cs-kokoronokimoti.net/</t>
  </si>
  <si>
    <t>傾聴・対話中心／情報散在</t>
  </si>
  <si>
    <t>心理カウンセリングオフィスうらら</t>
  </si>
  <si>
    <t>https://ula-la.jp/36/57/</t>
  </si>
  <si>
    <t>名駅近く／構成簡素</t>
  </si>
  <si>
    <t>ブレイントレイン名古屋</t>
  </si>
  <si>
    <t>https://braintrainnagoya.work/counseling/</t>
  </si>
  <si>
    <t>NLP・解決志向／情報不足</t>
  </si>
  <si>
    <t>名古屋はじめの一歩</t>
  </si>
  <si>
    <t>https://nagoyahajimenoippo.com/service/</t>
  </si>
  <si>
    <t>自己実現支援／情報不足</t>
  </si>
  <si>
    <t>Sophia心理カウンセリング</t>
  </si>
  <si>
    <t>https://sophia-21.com/services/counseling</t>
  </si>
  <si>
    <t>完全予約制／料金明記あるが構成弱い</t>
  </si>
  <si>
    <t>小規模プライベートサロン（複数）</t>
  </si>
  <si>
    <t>https://beauty.hotpepper.jp/relax/svcSC/macCA/grcGR01_spdL124/</t>
  </si>
  <si>
    <t>ホットペッパー依存／独立サイトなし</t>
  </si>
  <si>
    <t>名古屋・金山の完全予約制リラクゼーション</t>
  </si>
  <si>
    <t>https://layana-relaxation.com/</t>
  </si>
  <si>
    <t>完全個室／構成・導線弱い</t>
  </si>
  <si>
    <t>ハンドセラピスト肌質改善専門サロン～le´a～</t>
  </si>
  <si>
    <t>https://lea0910.jp/</t>
  </si>
  <si>
    <t>女性専用／情報散在</t>
  </si>
  <si>
    <t>完全予約制relaxation salon OIDE</t>
  </si>
  <si>
    <t>https://oide222.com/2023/05/19/2/</t>
  </si>
  <si>
    <t>ブログ下層ページのみ</t>
  </si>
  <si>
    <t>レインドロップ アロマヒーリングサロンPASION</t>
  </si>
  <si>
    <t>https://coubic.com/raindrop</t>
  </si>
  <si>
    <t>予約システム中心／情報散在</t>
  </si>
  <si>
    <t>名古屋占いカフェ スピリチュアル</t>
  </si>
  <si>
    <t>https://uranaicafe.jp/spiritual/list.php</t>
  </si>
  <si>
    <t>ポータル型／独立性弱い</t>
  </si>
  <si>
    <t>占いの館ノア</t>
  </si>
  <si>
    <t>https://noa-fortune.com/</t>
  </si>
  <si>
    <t>老舗／情報・導線が古い”</t>
  </si>
  <si>
    <t>心の悩み相談室 和む</t>
  </si>
  <si>
    <t>https://kokorononayamisoudanshitsu-nagomu.com/</t>
  </si>
  <si>
    <t>対人関係専門／完全予約制／情報整理良好</t>
  </si>
  <si>
    <t>カウンセリングルームAngeli</t>
  </si>
  <si>
    <t>https://counseling-angeli.net/</t>
  </si>
  <si>
    <t>ヒプノセラピー／完全予約制／独立ドメイン</t>
  </si>
  <si>
    <t>カウンセリングオフィス みかわ</t>
  </si>
  <si>
    <t>https://cslmikawa.jp/</t>
  </si>
  <si>
    <t>心理検査対応／Web構成良好</t>
  </si>
  <si>
    <t>四季奏わか</t>
  </si>
  <si>
    <t>https://www.waka-counseling.com/counseling.php</t>
  </si>
  <si>
    <t>心身トータルサポート／構成良好</t>
  </si>
  <si>
    <t>一宮駅前カウンセリング</t>
  </si>
  <si>
    <t>https://relaxlabo.mystrikingly.com/</t>
  </si>
  <si>
    <t>駅近／リモート対応／Strikingly</t>
  </si>
  <si>
    <t>カウンセリングオフィスLINKS</t>
  </si>
  <si>
    <t>https://links-counseling.mystrikingly.com/</t>
  </si>
  <si>
    <t>オンライン対応／夜間土日可</t>
  </si>
  <si>
    <t>NPO法人メンタルセラピスト協会</t>
  </si>
  <si>
    <t>https://mta-nanairo.jimdoweb.com/</t>
  </si>
  <si>
    <t>Jimdo／情報散在</t>
  </si>
  <si>
    <t>コミュニケーション・セルフケアー講座</t>
  </si>
  <si>
    <t>https://kokoronodoor.net/service-title-1/</t>
  </si>
  <si>
    <t>講座中心／情報散在</t>
  </si>
  <si>
    <t>占いミザリー（豊田）</t>
  </si>
  <si>
    <t>https://mizary.com/toyota/</t>
  </si>
  <si>
    <t>占い／情報散在</t>
  </si>
  <si>
    <t>ETERNAL COMFORT</t>
  </si>
  <si>
    <t>http://www.ishihara-clinic.jp/eternal/</t>
  </si>
  <si>
    <t>医療併設／情報散在</t>
  </si>
  <si>
    <t>心ほっこりカフェ</t>
  </si>
  <si>
    <t>https://hokkoricafe.com/</t>
  </si>
  <si>
    <t>傾聴中心／構成弱い</t>
  </si>
  <si>
    <t>天使のコンシェルジュ</t>
  </si>
  <si>
    <t>https://tenshinooka.jimdofree.com/</t>
  </si>
  <si>
    <t>Jimdo無料／情報散在</t>
  </si>
  <si>
    <t>愛ハピネス</t>
  </si>
  <si>
    <t>https://aihappiness.jp/</t>
  </si>
  <si>
    <t>スピリチュアル鑑定／構成弱い</t>
  </si>
  <si>
    <t>一宮むすび心療内科</t>
  </si>
  <si>
    <t>https://www.i-musubi.com/information.html</t>
  </si>
  <si>
    <t>医療系／情報散在</t>
  </si>
  <si>
    <t>NPO法人次世代育成支援機構</t>
  </si>
  <si>
    <t>https://npo-jisedai.org/service.html</t>
  </si>
  <si>
    <t>支援系／構成弱い</t>
  </si>
  <si>
    <t>アロハウス</t>
  </si>
  <si>
    <t>https://beauty.hotpepper.jp/kr/slnH000714722/</t>
  </si>
  <si>
    <t>ホットペッパーのみ</t>
  </si>
  <si>
    <t>心癒空間138</t>
  </si>
  <si>
    <t>https://www.facebook.com/hearthealingspace/</t>
  </si>
  <si>
    <t>Facebook中心</t>
  </si>
  <si>
    <t>占いミザリー（一宮）</t>
  </si>
  <si>
    <t>https://mizary.com/ichinomiya/</t>
  </si>
  <si>
    <t>柴田 桃子（心理カウンセリング）</t>
  </si>
  <si>
    <t>https://yukari.counseling1.jp/access/ichinomiya/</t>
  </si>
  <si>
    <t>女性向け／情報散在</t>
  </si>
  <si>
    <t>Ryo Counseling Room</t>
  </si>
  <si>
    <t>https://ryo-counseling.com/</t>
  </si>
  <si>
    <t>臨床心理士・公認心理師／情報整理良好／豊橋・豊川等対応</t>
  </si>
  <si>
    <t>cocoRoサロン直</t>
  </si>
  <si>
    <t>https://cocoronao.com/</t>
  </si>
  <si>
    <t>女性臨床心理士・公認心理師／駅近／完全予約制</t>
  </si>
  <si>
    <t>さんぽ幸せ研究所</t>
  </si>
  <si>
    <t>https://www.facebook.com/sanpohappylabo/</t>
  </si>
  <si>
    <t>Facebook運営（SNS中心だが導線あり）</t>
  </si>
  <si>
    <t>O-RINAS結婚相談所</t>
  </si>
  <si>
    <t>https://o-rinas.jp/contact/</t>
  </si>
  <si>
    <t>婚活カウンセリング／構成良好／予約制</t>
  </si>
  <si>
    <t>心理カウンセリング&amp;リンパセラピールームeau（エミュウ）</t>
  </si>
  <si>
    <t>https://eau1.jimdofree.com/</t>
  </si>
  <si>
    <t>Jimdo無料／自宅サロン／完全予約制</t>
  </si>
  <si>
    <t>まほうのつえ</t>
  </si>
  <si>
    <t>https://mahou-no-tsue.com/</t>
  </si>
  <si>
    <t>ハンドセラピー／カードセラピー／情報散在</t>
  </si>
  <si>
    <t>Serenity Meadow</t>
  </si>
  <si>
    <t>https://serenitymeadow.net/</t>
  </si>
  <si>
    <t>傾聴・セラピー系／情報散在</t>
  </si>
  <si>
    <t>カモミール（エンジェルカード・タロット）</t>
  </si>
  <si>
    <t>http://chamomile6.jp/</t>
  </si>
  <si>
    <t>タロット／メンタルケア心理士／情報散在</t>
  </si>
  <si>
    <t>占いミザリー（豊橋）</t>
  </si>
  <si>
    <t>https://mizary.com/toyohashi/</t>
  </si>
  <si>
    <t>ミラ(mira)</t>
  </si>
  <si>
    <t>https://beauty.hotpepper.jp/kr/slnH000502267/</t>
  </si>
  <si>
    <t>ホットペッパーのみ／完全予約制</t>
  </si>
  <si>
    <t>アロマ リラクゼーション KOU</t>
  </si>
  <si>
    <t>https://www.relax-kou.com/</t>
  </si>
  <si>
    <t>女性専用／完全予約制／情報散在</t>
  </si>
  <si>
    <t>Hair make tuju</t>
  </si>
  <si>
    <t>https://otowa.or.jp/kaiin/tuju</t>
  </si>
  <si>
    <t>会員/紹介系ページ内／情報散在</t>
  </si>
  <si>
    <t>くれたけ心理相談室 知多エリア（新舞子ルーム）</t>
  </si>
  <si>
    <t>https://eri.counseling1.jp/chita/</t>
  </si>
  <si>
    <t>公認心理師（田中絵里）／対応：知多・東海・半田・常滑／無料送迎あり／電話受付9:00-21:00</t>
  </si>
  <si>
    <t>瀬戸市カウンセリング｜青空カウンセリングルーム</t>
  </si>
  <si>
    <t>https://ltc-councelling-room.jimdoweb.com/</t>
  </si>
  <si>
    <t>Jimdo無料テンプレ／前世療法・AC・夫婦カウンセリング等</t>
  </si>
  <si>
    <t>心に寄り添うカウンセリング ワンぽてぃと（サービス）</t>
  </si>
  <si>
    <t>https://wanpoteito.com/counseling-service/</t>
  </si>
  <si>
    <t>対面・オンライン／ペットロス・不登校・ひきこもり等／完全予約制／平日11-16・休日11-17・金休</t>
  </si>
  <si>
    <t>星のひかり カウンセリング・ヒーリングサロン</t>
  </si>
  <si>
    <t>https://hoshinohikari.sakura.ne.jp/</t>
  </si>
  <si>
    <t>ヒーリング＋占い（数秘/占星等）／完全予約制</t>
  </si>
  <si>
    <t>くれたけ心理相談室（共通/トップ）</t>
  </si>
  <si>
    <t>https://eri.counseling1.jp/</t>
  </si>
  <si>
    <t>上の知多エリアと同系列（重複注意）／複数エリア対応</t>
  </si>
  <si>
    <t>知多市のカフェカウンセリング</t>
  </si>
  <si>
    <t>counseling1.co.jp/aichi/chita/</t>
  </si>
  <si>
    <t>カフェ・訪問カウンセリング／情報散在（電話は同系統）</t>
  </si>
  <si>
    <t>リュミエール(umiere)</t>
  </si>
  <si>
    <t>https://beauty.hotpepper.jp/kr/slnH000442765/</t>
  </si>
  <si>
    <t>ホットペッパーのみ／筋膜リリース・骨格調整等</t>
  </si>
  <si>
    <t>半田市のカウンセリング（くれたけ心理相談室エリア）</t>
  </si>
  <si>
    <t>https://eri.counseling1.jp/hannda/</t>
  </si>
  <si>
    <t>エリア別ページ／人間関係・恋愛・発達障害対応など／情報散在</t>
  </si>
  <si>
    <t>瀬戸市のカフェ・訪問カウンセリング</t>
  </si>
  <si>
    <t>counseling1.co.jp/aichi/seto/</t>
  </si>
  <si>
    <t>カフェ・訪問カウンセリング／情報散在</t>
  </si>
  <si>
    <t>アカツキ ヘルス アンド ビューティー ラボ</t>
  </si>
  <si>
    <t>https://beauty.hotpepper.jp/kr/slnH000626436/</t>
  </si>
  <si>
    <t>ホットペッパーのみ／10:00-21:00／木曜不定休</t>
  </si>
  <si>
    <t>春日井市の心理カウンセリング</t>
  </si>
  <si>
    <t>https://yukari.counseling1.jp/access/kasugai/</t>
  </si>
  <si>
    <t>情報散在／レンタルスペース対応など</t>
  </si>
  <si>
    <t>犬山心理相談室（春日井市対応）</t>
  </si>
  <si>
    <t>http://www.ctk.ne.jp/~kaze/newpage50.html</t>
  </si>
  <si>
    <t>古めの個人サイト／対人関係専門／完全予約制</t>
  </si>
  <si>
    <t>ワンぽてぃと（ひきこもり支援カフェ）</t>
  </si>
  <si>
    <t>https://wanpoteito.com/</t>
  </si>
  <si>
    <t>上のサービスと同運営（重複注意）／社会復帰支援</t>
  </si>
  <si>
    <t>判定</t>
  </si>
  <si>
    <t>盛岡心理カウンセリングセンター</t>
  </si>
  <si>
    <t>https://moriokashinri.jp/</t>
  </si>
  <si>
    <t>個人・夫婦カウンセリング／オンライン対応／完全予約制／80分10,900円</t>
  </si>
  <si>
    <t>盛岡ハートフルカウンセリングセラフィ</t>
  </si>
  <si>
    <t>https://www.seraphyroom.com/greeting</t>
  </si>
  <si>
    <t>個人経営心理カウンセリング／丁寧な対話／秘密厳守／完全予約制</t>
  </si>
  <si>
    <t>心理臨床オフィスすがわら</t>
  </si>
  <si>
    <t>https://itp.ne.jp/zenkoku/iwate/moriokashi/saien/iryo-kaigo/herusukea/shinri-denkiryohonado/shinrikaunseringu/034573804136141270</t>
  </si>
  <si>
    <t>臨床心理士対応／専門的トレーニング／完全予約制</t>
  </si>
  <si>
    <t>ヒーリングサロンルル</t>
  </si>
  <si>
    <t>https://lulusalon.jp/online</t>
  </si>
  <si>
    <t>セラピスト歴20年／ヒーリング・オイルマッサージ／オンライン対応／完全予約制</t>
  </si>
  <si>
    <t>Healing House I'O</t>
  </si>
  <si>
    <t>https://www.pomit.jp/beauty/healing-house-io/</t>
  </si>
  <si>
    <t>心身の癒し／女性向け／ハワイ風空間／完全予約制</t>
  </si>
  <si>
    <t>ふわり香るcozyな日常</t>
  </si>
  <si>
    <t>https://www.facebook.com/fuwarikaoru.ns/</t>
  </si>
  <si>
    <t>出張ヒーリングアロマサロン／月2回イベント開催／出張対応</t>
  </si>
  <si>
    <t>占いエンジェル 新追分店</t>
  </si>
  <si>
    <t>https://rensa.jp.net/akita</t>
  </si>
  <si>
    <t>タロット・手相・姓名判断・霊視／完全予約制</t>
  </si>
  <si>
    <t>7COLORS＊ 占星術と天然石</t>
  </si>
  <si>
    <t>https://www.iid.co.jp/contents-fortune/akita/</t>
  </si>
  <si>
    <t>西洋占星術・天然石／自己分析重視／完全予約制</t>
  </si>
  <si>
    <t>占い館 プリンセスルーム</t>
  </si>
  <si>
    <t>https://www.mysta.co.jp/akita-fortuneteller/</t>
  </si>
  <si>
    <t>占い館形式／複数占い師在籍／完全予約制</t>
  </si>
  <si>
    <t>秋田占いサロン</t>
  </si>
  <si>
    <t>https://se-ec.co.jp/uranai-surveyteam/area/akita</t>
  </si>
  <si>
    <t>複数占い師在籍／料金体系明確／完全予約制</t>
  </si>
  <si>
    <t>山形県内カウンセリング・セラピー関連</t>
  </si>
  <si>
    <t>未取得</t>
  </si>
  <si>
    <t>Web構成充実施設あり／要個別探索</t>
  </si>
  <si>
    <t>木村藤子 幸せの条件</t>
  </si>
  <si>
    <t>https://kimura-fujiko.jp/</t>
  </si>
  <si>
    <t>霊視・透視／全国的知名度／青森の神様／完全予約制</t>
  </si>
  <si>
    <t>アトリエなのまっこ</t>
  </si>
  <si>
    <t>https://www.weeeeks.jp/shop/ateliernanomakko/</t>
  </si>
  <si>
    <t>霊視系占い／ハイヤーセルフ・守護霊メッセージ／完全予約制</t>
  </si>
  <si>
    <t>ユング心理学クリニック</t>
  </si>
  <si>
    <t>https://itp.ne.jp/info/020166372000000899/</t>
  </si>
  <si>
    <t>ユング心理学／心療内科／人生・人間関係相談／完全予約制</t>
  </si>
  <si>
    <t>弘前駅前メンタルクリニック</t>
  </si>
  <si>
    <t>https://www.hirosakiekimae-mentalclinic.com/</t>
  </si>
  <si>
    <t>気分障害・不安障害・睡眠障害対応／完全予約制</t>
  </si>
  <si>
    <t>あおもり若者サポートステーション こころの相談</t>
  </si>
  <si>
    <t>https://aosapo.ims-hirosaki.com/program/consultation/</t>
  </si>
  <si>
    <t>臨床心理士対応／若者支援／完全予約制</t>
  </si>
  <si>
    <t>CS60ヒーリングサロンRin</t>
  </si>
  <si>
    <t>https://cs60rin3690.com/</t>
  </si>
  <si>
    <t>CS60施術／月50人以上実績／心身ケア／完全予約制</t>
  </si>
  <si>
    <t>citta チッタ</t>
  </si>
  <si>
    <t>https://salon-citta.com/</t>
  </si>
  <si>
    <t>アロマ・バリ式マッサージ・ヒーリング／完全予約制</t>
  </si>
  <si>
    <t>脳内ヒーリング TM BRAIN HEALING（オーキッド）</t>
  </si>
  <si>
    <t>https://www.orchid-salon.com/healing.html</t>
  </si>
  <si>
    <t>脳内ヒーリング／ホリスティックセラピー／心身浄化</t>
  </si>
  <si>
    <t>ハワイアンロミロミ＆ホットストーン Ohana</t>
  </si>
  <si>
    <t>http://lomilomi-ohana.com/</t>
  </si>
  <si>
    <t>ハワイアンロミロミ／ホットストーン／個別対応／完全予約制”</t>
  </si>
  <si>
    <t>山形県</t>
  </si>
  <si>
    <t>山形市</t>
  </si>
  <si>
    <t>カウンセリング</t>
  </si>
  <si>
    <t>福島県</t>
  </si>
  <si>
    <t>福島市</t>
  </si>
  <si>
    <t>ヒーリング</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</si>
</sst>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Arial"/>
    </font>
    <font>
      <sz val="11.0"/>
      <color theme="1"/>
      <name val="Calibri"/>
    </font>
    <font>
      <color theme="1"/>
      <name val="Calibri"/>
      <scheme val="minor"/>
    </font>
    <font>
      <u/>
      <color rgb="FF0000FF"/>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Font="1"/>
    <xf borderId="0" fillId="0" fontId="4" numFmtId="0" xfId="0" applyFont="1"/>
    <xf borderId="0" fillId="0" fontId="3" numFmtId="0" xfId="0" applyAlignment="1" applyFont="1">
      <alignment readingOrder="0"/>
    </xf>
    <xf borderId="1" fillId="0" fontId="5"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odycaresalon-822.com/" TargetMode="External"/><Relationship Id="rId42" Type="http://schemas.openxmlformats.org/officeDocument/2006/relationships/hyperlink" Target="https://tomoshibi-room.jimdosite.com/" TargetMode="External"/><Relationship Id="rId41" Type="http://schemas.openxmlformats.org/officeDocument/2006/relationships/hyperlink" Target="https://clarayoga.net/yoga" TargetMode="External"/><Relationship Id="rId44" Type="http://schemas.openxmlformats.org/officeDocument/2006/relationships/hyperlink" Target="https://www.ainowaaroma.com/" TargetMode="External"/><Relationship Id="rId43" Type="http://schemas.openxmlformats.org/officeDocument/2006/relationships/hyperlink" Target="https://shinki-healing.com/" TargetMode="External"/><Relationship Id="rId46" Type="http://schemas.openxmlformats.org/officeDocument/2006/relationships/hyperlink" Target="https://beauty.hotpepper.jp/kr/slnH000558273/" TargetMode="External"/><Relationship Id="rId45" Type="http://schemas.openxmlformats.org/officeDocument/2006/relationships/hyperlink" Target="https://www.sophia-omuta.com/" TargetMode="External"/><Relationship Id="rId107" Type="http://schemas.openxmlformats.org/officeDocument/2006/relationships/hyperlink" Target="https://kimura-fujiko.jp/" TargetMode="External"/><Relationship Id="rId106" Type="http://schemas.openxmlformats.org/officeDocument/2006/relationships/hyperlink" Target="https://se-ec.co.jp/uranai-surveyteam/area/akita" TargetMode="External"/><Relationship Id="rId105" Type="http://schemas.openxmlformats.org/officeDocument/2006/relationships/hyperlink" Target="https://www.mysta.co.jp/akita-fortuneteller/" TargetMode="External"/><Relationship Id="rId104" Type="http://schemas.openxmlformats.org/officeDocument/2006/relationships/hyperlink" Target="https://www.iid.co.jp/contents-fortune/akita/" TargetMode="External"/><Relationship Id="rId109" Type="http://schemas.openxmlformats.org/officeDocument/2006/relationships/hyperlink" Target="https://itp.ne.jp/info/020166372000000899/" TargetMode="External"/><Relationship Id="rId108" Type="http://schemas.openxmlformats.org/officeDocument/2006/relationships/hyperlink" Target="https://www.weeeeks.jp/shop/ateliernanomakko/" TargetMode="External"/><Relationship Id="rId48" Type="http://schemas.openxmlformats.org/officeDocument/2006/relationships/hyperlink" Target="https://www.yu-mentalclinic.com/" TargetMode="External"/><Relationship Id="rId47" Type="http://schemas.openxmlformats.org/officeDocument/2006/relationships/hyperlink" Target="https://my-best.com/18277" TargetMode="External"/><Relationship Id="rId49" Type="http://schemas.openxmlformats.org/officeDocument/2006/relationships/hyperlink" Target="https://www.minamoitoshima.com/counseling" TargetMode="External"/><Relationship Id="rId103" Type="http://schemas.openxmlformats.org/officeDocument/2006/relationships/hyperlink" Target="https://rensa.jp.net/akita" TargetMode="External"/><Relationship Id="rId102" Type="http://schemas.openxmlformats.org/officeDocument/2006/relationships/hyperlink" Target="https://www.facebook.com/fuwarikaoru.ns/" TargetMode="External"/><Relationship Id="rId101" Type="http://schemas.openxmlformats.org/officeDocument/2006/relationships/hyperlink" Target="https://www.pomit.jp/beauty/healing-house-io/" TargetMode="External"/><Relationship Id="rId100" Type="http://schemas.openxmlformats.org/officeDocument/2006/relationships/hyperlink" Target="https://lulusalon.jp/online" TargetMode="External"/><Relationship Id="rId31" Type="http://schemas.openxmlformats.org/officeDocument/2006/relationships/hyperlink" Target="https://kokurapsychanalyse.jpn.org/" TargetMode="External"/><Relationship Id="rId30" Type="http://schemas.openxmlformats.org/officeDocument/2006/relationships/hyperlink" Target="https://salalablog.exblog.jp/" TargetMode="External"/><Relationship Id="rId33" Type="http://schemas.openxmlformats.org/officeDocument/2006/relationships/hyperlink" Target="https://reserva.be/selfesteem/about" TargetMode="External"/><Relationship Id="rId32" Type="http://schemas.openxmlformats.org/officeDocument/2006/relationships/hyperlink" Target="https://www.ekiten.jp/shop_40874162/" TargetMode="External"/><Relationship Id="rId35" Type="http://schemas.openxmlformats.org/officeDocument/2006/relationships/hyperlink" Target="http://uranai-robanomimi.com/" TargetMode="External"/><Relationship Id="rId34" Type="http://schemas.openxmlformats.org/officeDocument/2006/relationships/hyperlink" Target="http://airinouranai.com/" TargetMode="External"/><Relationship Id="rId37" Type="http://schemas.openxmlformats.org/officeDocument/2006/relationships/hyperlink" Target="https://spiritual-master.biz/" TargetMode="External"/><Relationship Id="rId36" Type="http://schemas.openxmlformats.org/officeDocument/2006/relationships/hyperlink" Target="https://kty33.crayonsite.net/" TargetMode="External"/><Relationship Id="rId39" Type="http://schemas.openxmlformats.org/officeDocument/2006/relationships/hyperlink" Target="https://aromatouch-tsunagu.crayonsite.info/" TargetMode="External"/><Relationship Id="rId38" Type="http://schemas.openxmlformats.org/officeDocument/2006/relationships/hyperlink" Target="https://www.dear-h.com/" TargetMode="External"/><Relationship Id="rId20" Type="http://schemas.openxmlformats.org/officeDocument/2006/relationships/hyperlink" Target="https://seikotsuin-funi.net/" TargetMode="External"/><Relationship Id="rId22" Type="http://schemas.openxmlformats.org/officeDocument/2006/relationships/hyperlink" Target="https://www.s-grid-fukuoka.com/blank-15" TargetMode="External"/><Relationship Id="rId21" Type="http://schemas.openxmlformats.org/officeDocument/2006/relationships/hyperlink" Target="https://beauty.hotpepper.jp/kr/slnH000695557/" TargetMode="External"/><Relationship Id="rId24" Type="http://schemas.openxmlformats.org/officeDocument/2006/relationships/hyperlink" Target="https://heal-the-world.amebaownd.com/" TargetMode="External"/><Relationship Id="rId23" Type="http://schemas.openxmlformats.org/officeDocument/2006/relationships/hyperlink" Target="https://setsuritsu-senmon.com/fukuoka/15591" TargetMode="External"/><Relationship Id="rId26" Type="http://schemas.openxmlformats.org/officeDocument/2006/relationships/hyperlink" Target="https://mise-repo.com/12415/" TargetMode="External"/><Relationship Id="rId25" Type="http://schemas.openxmlformats.org/officeDocument/2006/relationships/hyperlink" Target="https://beauty.hotpepper.jp/kr/slnH000723685/" TargetMode="External"/><Relationship Id="rId28" Type="http://schemas.openxmlformats.org/officeDocument/2006/relationships/hyperlink" Target="https://salonbless.com/" TargetMode="External"/><Relationship Id="rId27" Type="http://schemas.openxmlformats.org/officeDocument/2006/relationships/hyperlink" Target="https://artemisia1001.amebaownd.com/" TargetMode="External"/><Relationship Id="rId29" Type="http://schemas.openxmlformats.org/officeDocument/2006/relationships/hyperlink" Target="https://hakatacaf1408.webnode.jp/" TargetMode="External"/><Relationship Id="rId95" Type="http://schemas.openxmlformats.org/officeDocument/2006/relationships/hyperlink" Target="https://yukari.counseling1.jp/access/kasugai/" TargetMode="External"/><Relationship Id="rId94" Type="http://schemas.openxmlformats.org/officeDocument/2006/relationships/hyperlink" Target="https://beauty.hotpepper.jp/kr/slnH000626436/" TargetMode="External"/><Relationship Id="rId97" Type="http://schemas.openxmlformats.org/officeDocument/2006/relationships/hyperlink" Target="https://moriokashinri.jp/" TargetMode="External"/><Relationship Id="rId96" Type="http://schemas.openxmlformats.org/officeDocument/2006/relationships/hyperlink" Target="http://www.ctk.ne.jp/~kaze/newpage50.html" TargetMode="External"/><Relationship Id="rId11" Type="http://schemas.openxmlformats.org/officeDocument/2006/relationships/hyperlink" Target="https://yayoshi.jp/" TargetMode="External"/><Relationship Id="rId99" Type="http://schemas.openxmlformats.org/officeDocument/2006/relationships/hyperlink" Target="https://itp.ne.jp/zenkoku/iwate/moriokashi/saien/iryo-kaigo/herusukea/shinri-denkiryohonado/shinrikaunseringu/034573804136141270" TargetMode="External"/><Relationship Id="rId10" Type="http://schemas.openxmlformats.org/officeDocument/2006/relationships/hyperlink" Target="https://sae38.com/" TargetMode="External"/><Relationship Id="rId98" Type="http://schemas.openxmlformats.org/officeDocument/2006/relationships/hyperlink" Target="https://www.seraphyroom.com/greeting" TargetMode="External"/><Relationship Id="rId13" Type="http://schemas.openxmlformats.org/officeDocument/2006/relationships/hyperlink" Target="https://www.ameba.jp/profile/general/clary-clary/" TargetMode="External"/><Relationship Id="rId12" Type="http://schemas.openxmlformats.org/officeDocument/2006/relationships/hyperlink" Target="https://coubic.com/smiletherapy" TargetMode="External"/><Relationship Id="rId91" Type="http://schemas.openxmlformats.org/officeDocument/2006/relationships/hyperlink" Target="https://beauty.hotpepper.jp/kr/slnH000442765/" TargetMode="External"/><Relationship Id="rId90" Type="http://schemas.openxmlformats.org/officeDocument/2006/relationships/hyperlink" Target="http://counseling1.co.jp/aichi/chita/" TargetMode="External"/><Relationship Id="rId93" Type="http://schemas.openxmlformats.org/officeDocument/2006/relationships/hyperlink" Target="http://counseling1.co.jp/aichi/seto/" TargetMode="External"/><Relationship Id="rId92" Type="http://schemas.openxmlformats.org/officeDocument/2006/relationships/hyperlink" Target="https://eri.counseling1.jp/hannda/" TargetMode="External"/><Relationship Id="rId116" Type="http://schemas.openxmlformats.org/officeDocument/2006/relationships/drawing" Target="../drawings/drawing1.xml"/><Relationship Id="rId115" Type="http://schemas.openxmlformats.org/officeDocument/2006/relationships/hyperlink" Target="http://lomilomi-ohana.com/" TargetMode="External"/><Relationship Id="rId15" Type="http://schemas.openxmlformats.org/officeDocument/2006/relationships/hyperlink" Target="https://fairy-sarah.amebaownd.com/" TargetMode="External"/><Relationship Id="rId110" Type="http://schemas.openxmlformats.org/officeDocument/2006/relationships/hyperlink" Target="https://www.hirosakiekimae-mentalclinic.com/" TargetMode="External"/><Relationship Id="rId14" Type="http://schemas.openxmlformats.org/officeDocument/2006/relationships/hyperlink" Target="https://jmty.jp/fukuoka/ser-cons/article-ay7s3?srsltid=AfmBOopn3q6YfRSB3HL610SoSFQ98eAHlAmpS7WKqVAhjBKBFW1mkba4" TargetMode="External"/><Relationship Id="rId17" Type="http://schemas.openxmlformats.org/officeDocument/2006/relationships/hyperlink" Target="https://hanabusa-music.com/blog/542/" TargetMode="External"/><Relationship Id="rId16" Type="http://schemas.openxmlformats.org/officeDocument/2006/relationships/hyperlink" Target="https://www.privatesalon-chill.com/achievement/" TargetMode="External"/><Relationship Id="rId19" Type="http://schemas.openxmlformats.org/officeDocument/2006/relationships/hyperlink" Target="https://www.ekiten.jp/shop_84471545/" TargetMode="External"/><Relationship Id="rId114" Type="http://schemas.openxmlformats.org/officeDocument/2006/relationships/hyperlink" Target="https://www.orchid-salon.com/healing.html" TargetMode="External"/><Relationship Id="rId18" Type="http://schemas.openxmlformats.org/officeDocument/2006/relationships/hyperlink" Target="https://www.rikaclinic.jp/" TargetMode="External"/><Relationship Id="rId113" Type="http://schemas.openxmlformats.org/officeDocument/2006/relationships/hyperlink" Target="https://salon-citta.com/" TargetMode="External"/><Relationship Id="rId112" Type="http://schemas.openxmlformats.org/officeDocument/2006/relationships/hyperlink" Target="https://cs60rin3690.com/" TargetMode="External"/><Relationship Id="rId111" Type="http://schemas.openxmlformats.org/officeDocument/2006/relationships/hyperlink" Target="https://aosapo.ims-hirosaki.com/program/consultation/" TargetMode="External"/><Relationship Id="rId84" Type="http://schemas.openxmlformats.org/officeDocument/2006/relationships/hyperlink" Target="http://chamomile6.jp/" TargetMode="External"/><Relationship Id="rId83" Type="http://schemas.openxmlformats.org/officeDocument/2006/relationships/hyperlink" Target="https://serenitymeadow.net/" TargetMode="External"/><Relationship Id="rId86" Type="http://schemas.openxmlformats.org/officeDocument/2006/relationships/hyperlink" Target="https://beauty.hotpepper.jp/kr/slnH000502267/" TargetMode="External"/><Relationship Id="rId85" Type="http://schemas.openxmlformats.org/officeDocument/2006/relationships/hyperlink" Target="https://mizary.com/toyohashi/" TargetMode="External"/><Relationship Id="rId88" Type="http://schemas.openxmlformats.org/officeDocument/2006/relationships/hyperlink" Target="https://otowa.or.jp/kaiin/tuju" TargetMode="External"/><Relationship Id="rId87" Type="http://schemas.openxmlformats.org/officeDocument/2006/relationships/hyperlink" Target="https://www.relax-kou.com/" TargetMode="External"/><Relationship Id="rId89" Type="http://schemas.openxmlformats.org/officeDocument/2006/relationships/hyperlink" Target="https://ltc-councelling-room.jimdoweb.com/" TargetMode="External"/><Relationship Id="rId80" Type="http://schemas.openxmlformats.org/officeDocument/2006/relationships/hyperlink" Target="https://yukari.counseling1.jp/access/ichinomiya/" TargetMode="External"/><Relationship Id="rId82" Type="http://schemas.openxmlformats.org/officeDocument/2006/relationships/hyperlink" Target="https://mahou-no-tsue.com/" TargetMode="External"/><Relationship Id="rId81" Type="http://schemas.openxmlformats.org/officeDocument/2006/relationships/hyperlink" Target="https://eau1.jimdofree.com/" TargetMode="External"/><Relationship Id="rId1" Type="http://schemas.openxmlformats.org/officeDocument/2006/relationships/hyperlink" Target="http://herbear.jp/salon/" TargetMode="External"/><Relationship Id="rId2" Type="http://schemas.openxmlformats.org/officeDocument/2006/relationships/hyperlink" Target="https://yamashitamiki.com/private-salon-menu/" TargetMode="External"/><Relationship Id="rId3" Type="http://schemas.openxmlformats.org/officeDocument/2006/relationships/hyperlink" Target="https://beauty.hotpepper.jp/kr/slnH000670718/" TargetMode="External"/><Relationship Id="rId4" Type="http://schemas.openxmlformats.org/officeDocument/2006/relationships/hyperlink" Target="https://www.shiki-counseling.com/goaisastu" TargetMode="External"/><Relationship Id="rId9" Type="http://schemas.openxmlformats.org/officeDocument/2006/relationships/hyperlink" Target="https://ashidamentalsalon.com/" TargetMode="External"/><Relationship Id="rId5" Type="http://schemas.openxmlformats.org/officeDocument/2006/relationships/hyperlink" Target="https://mentalhealth-ryu.jp/blog" TargetMode="External"/><Relationship Id="rId6" Type="http://schemas.openxmlformats.org/officeDocument/2006/relationships/hyperlink" Target="http://www.websp01.com/jyujitu/" TargetMode="External"/><Relationship Id="rId7" Type="http://schemas.openxmlformats.org/officeDocument/2006/relationships/hyperlink" Target="https://reserva.be/hakusuido/about" TargetMode="External"/><Relationship Id="rId8" Type="http://schemas.openxmlformats.org/officeDocument/2006/relationships/hyperlink" Target="https://tt0330-kam.com/female" TargetMode="External"/><Relationship Id="rId73" Type="http://schemas.openxmlformats.org/officeDocument/2006/relationships/hyperlink" Target="https://tenshinooka.jimdofree.com/" TargetMode="External"/><Relationship Id="rId72" Type="http://schemas.openxmlformats.org/officeDocument/2006/relationships/hyperlink" Target="https://hokkoricafe.com/" TargetMode="External"/><Relationship Id="rId75" Type="http://schemas.openxmlformats.org/officeDocument/2006/relationships/hyperlink" Target="https://www.i-musubi.com/information.html" TargetMode="External"/><Relationship Id="rId74" Type="http://schemas.openxmlformats.org/officeDocument/2006/relationships/hyperlink" Target="https://aihappiness.jp/" TargetMode="External"/><Relationship Id="rId77" Type="http://schemas.openxmlformats.org/officeDocument/2006/relationships/hyperlink" Target="https://beauty.hotpepper.jp/kr/slnH000714722/" TargetMode="External"/><Relationship Id="rId76" Type="http://schemas.openxmlformats.org/officeDocument/2006/relationships/hyperlink" Target="https://npo-jisedai.org/service.html" TargetMode="External"/><Relationship Id="rId79" Type="http://schemas.openxmlformats.org/officeDocument/2006/relationships/hyperlink" Target="https://mizary.com/ichinomiya/" TargetMode="External"/><Relationship Id="rId78" Type="http://schemas.openxmlformats.org/officeDocument/2006/relationships/hyperlink" Target="https://www.facebook.com/hearthealingspace/" TargetMode="External"/><Relationship Id="rId71" Type="http://schemas.openxmlformats.org/officeDocument/2006/relationships/hyperlink" Target="http://www.ishihara-clinic.jp/eternal/" TargetMode="External"/><Relationship Id="rId70" Type="http://schemas.openxmlformats.org/officeDocument/2006/relationships/hyperlink" Target="https://mizary.com/toyota/" TargetMode="External"/><Relationship Id="rId62" Type="http://schemas.openxmlformats.org/officeDocument/2006/relationships/hyperlink" Target="https://layana-relaxation.com/" TargetMode="External"/><Relationship Id="rId61" Type="http://schemas.openxmlformats.org/officeDocument/2006/relationships/hyperlink" Target="https://beauty.hotpepper.jp/relax/svcSC/macCA/grcGR01_spdL124/" TargetMode="External"/><Relationship Id="rId64" Type="http://schemas.openxmlformats.org/officeDocument/2006/relationships/hyperlink" Target="https://oide222.com/2023/05/19/2/" TargetMode="External"/><Relationship Id="rId63" Type="http://schemas.openxmlformats.org/officeDocument/2006/relationships/hyperlink" Target="https://lea0910.jp/" TargetMode="External"/><Relationship Id="rId66" Type="http://schemas.openxmlformats.org/officeDocument/2006/relationships/hyperlink" Target="https://uranaicafe.jp/spiritual/list.php" TargetMode="External"/><Relationship Id="rId65" Type="http://schemas.openxmlformats.org/officeDocument/2006/relationships/hyperlink" Target="https://coubic.com/raindrop" TargetMode="External"/><Relationship Id="rId68" Type="http://schemas.openxmlformats.org/officeDocument/2006/relationships/hyperlink" Target="https://mta-nanairo.jimdoweb.com/" TargetMode="External"/><Relationship Id="rId67" Type="http://schemas.openxmlformats.org/officeDocument/2006/relationships/hyperlink" Target="https://noa-fortune.com/" TargetMode="External"/><Relationship Id="rId60" Type="http://schemas.openxmlformats.org/officeDocument/2006/relationships/hyperlink" Target="https://sophia-21.com/services/counseling" TargetMode="External"/><Relationship Id="rId69" Type="http://schemas.openxmlformats.org/officeDocument/2006/relationships/hyperlink" Target="https://kokoronodoor.net/service-title-1/" TargetMode="External"/><Relationship Id="rId51" Type="http://schemas.openxmlformats.org/officeDocument/2006/relationships/hyperlink" Target="https://itosuki.jimdofree.com/" TargetMode="External"/><Relationship Id="rId50" Type="http://schemas.openxmlformats.org/officeDocument/2006/relationships/hyperlink" Target="https://irayoi.com/voice" TargetMode="External"/><Relationship Id="rId53" Type="http://schemas.openxmlformats.org/officeDocument/2006/relationships/hyperlink" Target="https://www.cocorise.com/about/" TargetMode="External"/><Relationship Id="rId52" Type="http://schemas.openxmlformats.org/officeDocument/2006/relationships/hyperlink" Target="https://beauty.hotpepper.jp/kr/slnH000752909/" TargetMode="External"/><Relationship Id="rId55" Type="http://schemas.openxmlformats.org/officeDocument/2006/relationships/hyperlink" Target="https://cocoro-pt.com/" TargetMode="External"/><Relationship Id="rId54" Type="http://schemas.openxmlformats.org/officeDocument/2006/relationships/hyperlink" Target="https://www.tially.jp/fukuoka/" TargetMode="External"/><Relationship Id="rId57" Type="http://schemas.openxmlformats.org/officeDocument/2006/relationships/hyperlink" Target="https://ula-la.jp/36/57/" TargetMode="External"/><Relationship Id="rId56" Type="http://schemas.openxmlformats.org/officeDocument/2006/relationships/hyperlink" Target="https://www.cs-kokoronokimoti.net/" TargetMode="External"/><Relationship Id="rId59" Type="http://schemas.openxmlformats.org/officeDocument/2006/relationships/hyperlink" Target="https://nagoyahajimenoippo.com/service/" TargetMode="External"/><Relationship Id="rId58" Type="http://schemas.openxmlformats.org/officeDocument/2006/relationships/hyperlink" Target="https://braintrainnagoya.work/counsel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A1" s="1" t="s">
        <v>0</v>
      </c>
      <c r="B1" s="1" t="s">
        <v>1</v>
      </c>
      <c r="C1" s="1" t="s">
        <v>2</v>
      </c>
      <c r="D1" s="2"/>
      <c r="E1" s="1" t="s">
        <v>3</v>
      </c>
      <c r="F1" s="1" t="s">
        <v>4</v>
      </c>
      <c r="G1" s="1" t="s">
        <v>0</v>
      </c>
      <c r="H1" s="1" t="s">
        <v>5</v>
      </c>
      <c r="I1" s="1" t="s">
        <v>6</v>
      </c>
      <c r="J1" s="1" t="s">
        <v>7</v>
      </c>
      <c r="K1" s="1" t="s">
        <v>8</v>
      </c>
      <c r="L1" s="2"/>
      <c r="M1" s="2"/>
      <c r="N1" s="2"/>
      <c r="O1" s="2"/>
    </row>
    <row r="2">
      <c r="A2" s="2"/>
      <c r="B2" s="2" t="s">
        <v>9</v>
      </c>
      <c r="C2" s="2"/>
      <c r="D2" s="2"/>
      <c r="E2" s="2"/>
      <c r="F2" s="2"/>
      <c r="G2" s="2"/>
      <c r="H2" s="2"/>
      <c r="I2" s="2"/>
      <c r="J2" s="2"/>
      <c r="K2" s="2"/>
      <c r="L2" s="2"/>
      <c r="M2" s="2"/>
      <c r="N2" s="2"/>
      <c r="O2" s="2"/>
    </row>
    <row r="3">
      <c r="A3" s="2"/>
      <c r="B3" s="2" t="str">
        <f>IFERROR(__xludf.DUMMYFUNCTION("QUERY('福岡'!A:D, ""select * where C='△'"", 1)"),"名称")</f>
        <v>名称</v>
      </c>
      <c r="C3" s="2" t="str">
        <f>IFERROR(__xludf.DUMMYFUNCTION("""COMPUTED_VALUE"""),"URL")</f>
        <v>URL</v>
      </c>
      <c r="D3" s="2" t="str">
        <f>IFERROR(__xludf.DUMMYFUNCTION("""COMPUTED_VALUE"""),"Web評価")</f>
        <v>Web評価</v>
      </c>
      <c r="E3" s="2" t="str">
        <f>IFERROR(__xludf.DUMMYFUNCTION("""COMPUTED_VALUE"""),"判定コメント/特徴")</f>
        <v>判定コメント/特徴</v>
      </c>
      <c r="F3" s="2"/>
      <c r="G3" s="2"/>
      <c r="H3" s="2"/>
      <c r="I3" s="2"/>
      <c r="J3" s="2"/>
      <c r="K3" s="2"/>
      <c r="L3" s="2"/>
      <c r="M3" s="2"/>
      <c r="N3" s="2"/>
      <c r="O3" s="2"/>
    </row>
    <row r="4">
      <c r="A4" s="3" t="str">
        <f t="shared" ref="A4:A124" si="1">TEXT(7000 + ROW() -4,"00000")</f>
        <v>07000</v>
      </c>
      <c r="B4" s="3" t="str">
        <f>IFERROR(__xludf.DUMMYFUNCTION("""COMPUTED_VALUE"""),"ハーベア（フィトセラピーサロン）")</f>
        <v>ハーベア（フィトセラピーサロン）</v>
      </c>
      <c r="C4" s="4" t="str">
        <f>IFERROR(__xludf.DUMMYFUNCTION("""COMPUTED_VALUE"""),"http://herbear.jp/salon/")</f>
        <v>http://herbear.jp/salon/</v>
      </c>
      <c r="D4" s="3" t="str">
        <f>IFERROR(__xludf.DUMMYFUNCTION("""COMPUTED_VALUE"""),"△")</f>
        <v>△</v>
      </c>
      <c r="E4" s="3" t="str">
        <f>IFERROR(__xludf.DUMMYFUNCTION("""COMPUTED_VALUE"""),"独自ドメインだが構成が簡素で情報が不十分")</f>
        <v>独自ドメインだが構成が簡素で情報が不十分</v>
      </c>
    </row>
    <row r="5">
      <c r="A5" s="3" t="str">
        <f t="shared" si="1"/>
        <v>07001</v>
      </c>
      <c r="B5" s="3" t="str">
        <f>IFERROR(__xludf.DUMMYFUNCTION("""COMPUTED_VALUE"""),"プライベートサロン「フィリア」＆チャネリング")</f>
        <v>プライベートサロン「フィリア」＆チャネリング</v>
      </c>
      <c r="C5" s="4" t="str">
        <f>IFERROR(__xludf.DUMMYFUNCTION("""COMPUTED_VALUE"""),"https://yamashitamiki.com/private-salon-menu/")</f>
        <v>https://yamashitamiki.com/private-salon-menu/</v>
      </c>
      <c r="D5" s="3" t="str">
        <f>IFERROR(__xludf.DUMMYFUNCTION("""COMPUTED_VALUE"""),"△")</f>
        <v>△</v>
      </c>
      <c r="E5" s="3" t="str">
        <f>IFERROR(__xludf.DUMMYFUNCTION("""COMPUTED_VALUE"""),"独自ドメインだが構成が簡素で情報が不十分")</f>
        <v>独自ドメインだが構成が簡素で情報が不十分</v>
      </c>
    </row>
    <row r="6">
      <c r="A6" s="3" t="str">
        <f t="shared" si="1"/>
        <v>07002</v>
      </c>
      <c r="B6" s="3" t="str">
        <f>IFERROR(__xludf.DUMMYFUNCTION("""COMPUTED_VALUE"""),"癒楽(ユラ)")</f>
        <v>癒楽(ユラ)</v>
      </c>
      <c r="C6" s="4" t="str">
        <f>IFERROR(__xludf.DUMMYFUNCTION("""COMPUTED_VALUE"""),"https://beauty.hotpepper.jp/kr/slnH000670718/")</f>
        <v>https://beauty.hotpepper.jp/kr/slnH000670718/</v>
      </c>
      <c r="D6" s="3" t="str">
        <f>IFERROR(__xludf.DUMMYFUNCTION("""COMPUTED_VALUE"""),"△")</f>
        <v>△</v>
      </c>
      <c r="E6" s="3" t="str">
        <f>IFERROR(__xludf.DUMMYFUNCTION("""COMPUTED_VALUE"""),"ホットペッパーのみ掲載で独立サイトがなく改善余地が大きい")</f>
        <v>ホットペッパーのみ掲載で独立サイトがなく改善余地が大きい</v>
      </c>
    </row>
    <row r="7">
      <c r="A7" s="3" t="str">
        <f t="shared" si="1"/>
        <v>07003</v>
      </c>
      <c r="B7" s="3" t="str">
        <f>IFERROR(__xludf.DUMMYFUNCTION("""COMPUTED_VALUE"""),"志岐カウンセリングオフィス")</f>
        <v>志岐カウンセリングオフィス</v>
      </c>
      <c r="C7" s="4" t="str">
        <f>IFERROR(__xludf.DUMMYFUNCTION("""COMPUTED_VALUE"""),"https://www.shiki-counseling.com/goaisastu")</f>
        <v>https://www.shiki-counseling.com/goaisastu</v>
      </c>
      <c r="D7" s="3" t="str">
        <f>IFERROR(__xludf.DUMMYFUNCTION("""COMPUTED_VALUE"""),"△")</f>
        <v>△</v>
      </c>
      <c r="E7" s="3" t="str">
        <f>IFERROR(__xludf.DUMMYFUNCTION("""COMPUTED_VALUE"""),"独自ドメインだが構成が簡素で情報が不十分")</f>
        <v>独自ドメインだが構成が簡素で情報が不十分</v>
      </c>
    </row>
    <row r="8">
      <c r="A8" s="3" t="str">
        <f t="shared" si="1"/>
        <v>07004</v>
      </c>
      <c r="B8" s="3" t="str">
        <f>IFERROR(__xludf.DUMMYFUNCTION("""COMPUTED_VALUE"""),"こころRyu")</f>
        <v>こころRyu</v>
      </c>
      <c r="C8" s="4" t="str">
        <f>IFERROR(__xludf.DUMMYFUNCTION("""COMPUTED_VALUE"""),"https://mentalhealth-ryu.jp/blog")</f>
        <v>https://mentalhealth-ryu.jp/blog</v>
      </c>
      <c r="D8" s="3" t="str">
        <f>IFERROR(__xludf.DUMMYFUNCTION("""COMPUTED_VALUE"""),"△")</f>
        <v>△</v>
      </c>
      <c r="E8" s="3" t="str">
        <f>IFERROR(__xludf.DUMMYFUNCTION("""COMPUTED_VALUE"""),"ブログ形式で情報が散在している")</f>
        <v>ブログ形式で情報が散在している</v>
      </c>
    </row>
    <row r="9">
      <c r="A9" s="3" t="str">
        <f t="shared" si="1"/>
        <v>07005</v>
      </c>
      <c r="B9" s="3" t="str">
        <f>IFERROR(__xludf.DUMMYFUNCTION("""COMPUTED_VALUE"""),"充実生活社")</f>
        <v>充実生活社</v>
      </c>
      <c r="C9" s="4" t="str">
        <f>IFERROR(__xludf.DUMMYFUNCTION("""COMPUTED_VALUE"""),"http://www.websp01.com/jyujitu/")</f>
        <v>http://www.websp01.com/jyujitu/</v>
      </c>
      <c r="D9" s="3" t="str">
        <f>IFERROR(__xludf.DUMMYFUNCTION("""COMPUTED_VALUE"""),"△")</f>
        <v>△</v>
      </c>
      <c r="E9" s="3" t="str">
        <f>IFERROR(__xludf.DUMMYFUNCTION("""COMPUTED_VALUE"""),"情報が散在しナビゲーションが不明確")</f>
        <v>情報が散在しナビゲーションが不明確</v>
      </c>
    </row>
    <row r="10">
      <c r="A10" s="3" t="str">
        <f t="shared" si="1"/>
        <v>07006</v>
      </c>
      <c r="B10" s="3" t="str">
        <f>IFERROR(__xludf.DUMMYFUNCTION("""COMPUTED_VALUE"""),"薬草の森 はくすい堂")</f>
        <v>薬草の森 はくすい堂</v>
      </c>
      <c r="C10" s="4" t="str">
        <f>IFERROR(__xludf.DUMMYFUNCTION("""COMPUTED_VALUE"""),"https://reserva.be/hakusuido/about")</f>
        <v>https://reserva.be/hakusuido/about</v>
      </c>
      <c r="D10" s="3" t="str">
        <f>IFERROR(__xludf.DUMMYFUNCTION("""COMPUTED_VALUE"""),"△")</f>
        <v>△</v>
      </c>
      <c r="E10" s="3" t="str">
        <f>IFERROR(__xludf.DUMMYFUNCTION("""COMPUTED_VALUE"""),"予約システム中心で独立サイトがなく改善余地が大きい")</f>
        <v>予約システム中心で独立サイトがなく改善余地が大きい</v>
      </c>
    </row>
    <row r="11">
      <c r="A11" s="3" t="str">
        <f t="shared" si="1"/>
        <v>07007</v>
      </c>
      <c r="B11" s="3" t="str">
        <f>IFERROR(__xludf.DUMMYFUNCTION("""COMPUTED_VALUE"""),"臨床心理シランの室")</f>
        <v>臨床心理シランの室</v>
      </c>
      <c r="C11" s="4" t="str">
        <f>IFERROR(__xludf.DUMMYFUNCTION("""COMPUTED_VALUE"""),"https://tt0330-kam.com/female")</f>
        <v>https://tt0330-kam.com/female</v>
      </c>
      <c r="D11" s="3" t="str">
        <f>IFERROR(__xludf.DUMMYFUNCTION("""COMPUTED_VALUE"""),"△")</f>
        <v>△</v>
      </c>
      <c r="E11" s="3" t="str">
        <f>IFERROR(__xludf.DUMMYFUNCTION("""COMPUTED_VALUE"""),"独自ドメインだが構成が簡素で情報が不十分")</f>
        <v>独自ドメインだが構成が簡素で情報が不十分</v>
      </c>
    </row>
    <row r="12">
      <c r="A12" s="3" t="str">
        <f t="shared" si="1"/>
        <v>07008</v>
      </c>
      <c r="B12" s="3" t="str">
        <f>IFERROR(__xludf.DUMMYFUNCTION("""COMPUTED_VALUE"""),"メンタルサロン 芦田ジュン")</f>
        <v>メンタルサロン 芦田ジュン</v>
      </c>
      <c r="C12" s="4" t="str">
        <f>IFERROR(__xludf.DUMMYFUNCTION("""COMPUTED_VALUE"""),"https://ashidamentalsalon.com/")</f>
        <v>https://ashidamentalsalon.com/</v>
      </c>
      <c r="D12" s="3" t="str">
        <f>IFERROR(__xludf.DUMMYFUNCTION("""COMPUTED_VALUE"""),"△")</f>
        <v>△</v>
      </c>
      <c r="E12" s="3" t="str">
        <f>IFERROR(__xludf.DUMMYFUNCTION("""COMPUTED_VALUE"""),"独自ドメインだが構成が簡素で情報が不十分")</f>
        <v>独自ドメインだが構成が簡素で情報が不十分</v>
      </c>
    </row>
    <row r="13">
      <c r="A13" s="3" t="str">
        <f t="shared" si="1"/>
        <v>07009</v>
      </c>
      <c r="B13" s="3" t="str">
        <f>IFERROR(__xludf.DUMMYFUNCTION("""COMPUTED_VALUE"""),"小倉南区ヒーリングサロンさえ")</f>
        <v>小倉南区ヒーリングサロンさえ</v>
      </c>
      <c r="C13" s="4" t="str">
        <f>IFERROR(__xludf.DUMMYFUNCTION("""COMPUTED_VALUE"""),"https://sae38.com/")</f>
        <v>https://sae38.com/</v>
      </c>
      <c r="D13" s="3" t="str">
        <f>IFERROR(__xludf.DUMMYFUNCTION("""COMPUTED_VALUE"""),"△")</f>
        <v>△</v>
      </c>
      <c r="E13" s="3" t="str">
        <f>IFERROR(__xludf.DUMMYFUNCTION("""COMPUTED_VALUE"""),"独自ドメインだが構成が簡素で情報が不十分")</f>
        <v>独自ドメインだが構成が簡素で情報が不十分</v>
      </c>
    </row>
    <row r="14">
      <c r="A14" s="3" t="str">
        <f t="shared" si="1"/>
        <v>07010</v>
      </c>
      <c r="B14" s="3" t="str">
        <f>IFERROR(__xludf.DUMMYFUNCTION("""COMPUTED_VALUE"""),"セラピーやよし（弥吉）")</f>
        <v>セラピーやよし（弥吉）</v>
      </c>
      <c r="C14" s="4" t="str">
        <f>IFERROR(__xludf.DUMMYFUNCTION("""COMPUTED_VALUE"""),"https://yayoshi.jp/")</f>
        <v>https://yayoshi.jp/</v>
      </c>
      <c r="D14" s="3" t="str">
        <f>IFERROR(__xludf.DUMMYFUNCTION("""COMPUTED_VALUE"""),"△")</f>
        <v>△</v>
      </c>
      <c r="E14" s="3" t="str">
        <f>IFERROR(__xludf.DUMMYFUNCTION("""COMPUTED_VALUE"""),"独自ドメインだが構成が簡素で情報が不十分")</f>
        <v>独自ドメインだが構成が簡素で情報が不十分</v>
      </c>
    </row>
    <row r="15">
      <c r="A15" s="3" t="str">
        <f t="shared" si="1"/>
        <v>07011</v>
      </c>
      <c r="B15" s="3" t="str">
        <f>IFERROR(__xludf.DUMMYFUNCTION("""COMPUTED_VALUE"""),"Office smile therapy")</f>
        <v>Office smile therapy</v>
      </c>
      <c r="C15" s="4" t="str">
        <f>IFERROR(__xludf.DUMMYFUNCTION("""COMPUTED_VALUE"""),"https://coubic.com/smiletherapy")</f>
        <v>https://coubic.com/smiletherapy</v>
      </c>
      <c r="D15" s="3" t="str">
        <f>IFERROR(__xludf.DUMMYFUNCTION("""COMPUTED_VALUE"""),"△")</f>
        <v>△</v>
      </c>
      <c r="E15" s="3" t="str">
        <f>IFERROR(__xludf.DUMMYFUNCTION("""COMPUTED_VALUE"""),"予約システム中心で独立サイトがなく改善余地が大きい")</f>
        <v>予約システム中心で独立サイトがなく改善余地が大きい</v>
      </c>
    </row>
    <row r="16">
      <c r="A16" s="3" t="str">
        <f t="shared" si="1"/>
        <v>07012</v>
      </c>
      <c r="B16" s="3" t="str">
        <f>IFERROR(__xludf.DUMMYFUNCTION("""COMPUTED_VALUE"""),"本来の自分に覚醒 自分開花カウンセラー Chieko")</f>
        <v>本来の自分に覚醒 自分開花カウンセラー Chieko</v>
      </c>
      <c r="C16" s="4" t="str">
        <f>IFERROR(__xludf.DUMMYFUNCTION("""COMPUTED_VALUE"""),"https://www.ameba.jp/profile/general/clary-clary/")</f>
        <v>https://www.ameba.jp/profile/general/clary-clary/</v>
      </c>
      <c r="D16" s="3" t="str">
        <f>IFERROR(__xludf.DUMMYFUNCTION("""COMPUTED_VALUE"""),"△")</f>
        <v>△</v>
      </c>
      <c r="E16" s="3" t="str">
        <f>IFERROR(__xludf.DUMMYFUNCTION("""COMPUTED_VALUE"""),"Amebaブログのみで公式サイト整備がなく改善余地が非常に大きい")</f>
        <v>Amebaブログのみで公式サイト整備がなく改善余地が非常に大きい</v>
      </c>
    </row>
    <row r="17">
      <c r="A17" s="3" t="str">
        <f t="shared" si="1"/>
        <v>07013</v>
      </c>
      <c r="B17" s="3" t="str">
        <f>IFERROR(__xludf.DUMMYFUNCTION("""COMPUTED_VALUE"""),"メンタルサポートグループ久留米")</f>
        <v>メンタルサポートグループ久留米</v>
      </c>
      <c r="C17" s="4" t="str">
        <f>IFERROR(__xludf.DUMMYFUNCTION("""COMPUTED_VALUE"""),"https://jmty.jp/fukuoka/ser-cons/article-ay7s3?srsltid=AfmBOopn3q6YfRSB3HL610SoSFQ98eAHlAmpS7WKqVAhjBKBFW1mkba4")</f>
        <v>https://jmty.jp/fukuoka/ser-cons/article-ay7s3?srsltid=AfmBOopn3q6YfRSB3HL610SoSFQ98eAHlAmpS7WKqVAhjBKBFW1mkba4</v>
      </c>
      <c r="D17" s="3" t="str">
        <f>IFERROR(__xludf.DUMMYFUNCTION("""COMPUTED_VALUE"""),"△")</f>
        <v>△</v>
      </c>
      <c r="E17" s="3" t="str">
        <f>IFERROR(__xludf.DUMMYFUNCTION("""COMPUTED_VALUE"""),"ポータル掲載のみで独立サイトがなく改善余地が大きい")</f>
        <v>ポータル掲載のみで独立サイトがなく改善余地が大きい</v>
      </c>
    </row>
    <row r="18">
      <c r="A18" s="3" t="str">
        <f t="shared" si="1"/>
        <v>07014</v>
      </c>
      <c r="B18" s="3" t="str">
        <f>IFERROR(__xludf.DUMMYFUNCTION("""COMPUTED_VALUE"""),"セラピーサロン ＊サラの庭＊ Sarah's Garden")</f>
        <v>セラピーサロン ＊サラの庭＊ Sarah's Garden</v>
      </c>
      <c r="C18" s="4" t="str">
        <f>IFERROR(__xludf.DUMMYFUNCTION("""COMPUTED_VALUE"""),"https://fairy-sarah.amebaownd.com/")</f>
        <v>https://fairy-sarah.amebaownd.com/</v>
      </c>
      <c r="D18" s="3" t="str">
        <f>IFERROR(__xludf.DUMMYFUNCTION("""COMPUTED_VALUE"""),"△")</f>
        <v>△</v>
      </c>
      <c r="E18" s="3" t="str">
        <f>IFERROR(__xludf.DUMMYFUNCTION("""COMPUTED_VALUE"""),"Amebaownd無料版テンプレで構成されWeb改善余地が大きい")</f>
        <v>Amebaownd無料版テンプレで構成されWeb改善余地が大きい</v>
      </c>
    </row>
    <row r="19">
      <c r="A19" s="3" t="str">
        <f t="shared" si="1"/>
        <v>07015</v>
      </c>
      <c r="B19" s="3" t="str">
        <f>IFERROR(__xludf.DUMMYFUNCTION("""COMPUTED_VALUE"""),"private salon chill（チル）")</f>
        <v>private salon chill（チル）</v>
      </c>
      <c r="C19" s="4" t="str">
        <f>IFERROR(__xludf.DUMMYFUNCTION("""COMPUTED_VALUE"""),"https://www.privatesalon-chill.com/achievement/")</f>
        <v>https://www.privatesalon-chill.com/achievement/</v>
      </c>
      <c r="D19" s="3" t="str">
        <f>IFERROR(__xludf.DUMMYFUNCTION("""COMPUTED_VALUE"""),"△")</f>
        <v>△</v>
      </c>
      <c r="E19" s="3" t="str">
        <f>IFERROR(__xludf.DUMMYFUNCTION("""COMPUTED_VALUE"""),"独自ドメインだが構成が簡素で情報が不十分")</f>
        <v>独自ドメインだが構成が簡素で情報が不十分</v>
      </c>
    </row>
    <row r="20">
      <c r="A20" s="3" t="str">
        <f t="shared" si="1"/>
        <v>07016</v>
      </c>
      <c r="B20" s="3" t="str">
        <f>IFERROR(__xludf.DUMMYFUNCTION("""COMPUTED_VALUE"""),"Hanabusa日和（保育ピアノサポート）")</f>
        <v>Hanabusa日和（保育ピアノサポート）</v>
      </c>
      <c r="C20" s="4" t="str">
        <f>IFERROR(__xludf.DUMMYFUNCTION("""COMPUTED_VALUE"""),"https://hanabusa-music.com/blog/542/")</f>
        <v>https://hanabusa-music.com/blog/542/</v>
      </c>
      <c r="D20" s="3" t="str">
        <f>IFERROR(__xludf.DUMMYFUNCTION("""COMPUTED_VALUE"""),"△")</f>
        <v>△</v>
      </c>
      <c r="E20" s="3" t="str">
        <f>IFERROR(__xludf.DUMMYFUNCTION("""COMPUTED_VALUE"""),"ブログ形式で情報が散在している")</f>
        <v>ブログ形式で情報が散在している</v>
      </c>
    </row>
    <row r="21" ht="15.75" customHeight="1">
      <c r="A21" s="3" t="str">
        <f t="shared" si="1"/>
        <v>07017</v>
      </c>
      <c r="B21" s="3" t="str">
        <f>IFERROR(__xludf.DUMMYFUNCTION("""COMPUTED_VALUE"""),"スタジオリカクリニック")</f>
        <v>スタジオリカクリニック</v>
      </c>
      <c r="C21" s="4" t="str">
        <f>IFERROR(__xludf.DUMMYFUNCTION("""COMPUTED_VALUE"""),"https://www.rikaclinic.jp/")</f>
        <v>https://www.rikaclinic.jp/</v>
      </c>
      <c r="D21" s="3" t="str">
        <f>IFERROR(__xludf.DUMMYFUNCTION("""COMPUTED_VALUE"""),"△")</f>
        <v>△</v>
      </c>
      <c r="E21" s="3" t="str">
        <f>IFERROR(__xludf.DUMMYFUNCTION("""COMPUTED_VALUE"""),"医療機関で個人運営ではない可能性があるため営業対象として要精査")</f>
        <v>医療機関で個人運営ではない可能性があるため営業対象として要精査</v>
      </c>
    </row>
    <row r="22" ht="15.75" customHeight="1">
      <c r="A22" s="3" t="str">
        <f t="shared" si="1"/>
        <v>07018</v>
      </c>
      <c r="B22" s="3" t="str">
        <f>IFERROR(__xludf.DUMMYFUNCTION("""COMPUTED_VALUE"""),"メンタルケアサロン心の翼 筑紫野二日市店")</f>
        <v>メンタルケアサロン心の翼 筑紫野二日市店</v>
      </c>
      <c r="C22" s="4" t="str">
        <f>IFERROR(__xludf.DUMMYFUNCTION("""COMPUTED_VALUE"""),"https://www.ekiten.jp/shop_84471545/")</f>
        <v>https://www.ekiten.jp/shop_84471545/</v>
      </c>
      <c r="D22" s="3" t="str">
        <f>IFERROR(__xludf.DUMMYFUNCTION("""COMPUTED_VALUE"""),"△")</f>
        <v>△</v>
      </c>
      <c r="E22" s="3" t="str">
        <f>IFERROR(__xludf.DUMMYFUNCTION("""COMPUTED_VALUE"""),"ポータル掲載のみで独立サイトがなく改善余地が大きい")</f>
        <v>ポータル掲載のみで独立サイトがなく改善余地が大きい</v>
      </c>
    </row>
    <row r="23" ht="15.75" customHeight="1">
      <c r="A23" s="3" t="str">
        <f t="shared" si="1"/>
        <v>07019</v>
      </c>
      <c r="B23" s="3" t="str">
        <f>IFERROR(__xludf.DUMMYFUNCTION("""COMPUTED_VALUE"""),"整骨院フーニ")</f>
        <v>整骨院フーニ</v>
      </c>
      <c r="C23" s="4" t="str">
        <f>IFERROR(__xludf.DUMMYFUNCTION("""COMPUTED_VALUE"""),"https://seikotsuin-funi.net/")</f>
        <v>https://seikotsuin-funi.net/</v>
      </c>
      <c r="D23" s="3" t="str">
        <f>IFERROR(__xludf.DUMMYFUNCTION("""COMPUTED_VALUE"""),"△")</f>
        <v>△</v>
      </c>
      <c r="E23" s="3" t="str">
        <f>IFERROR(__xludf.DUMMYFUNCTION("""COMPUTED_VALUE"""),"独自ドメインだが構成が簡素で情報が不十分")</f>
        <v>独自ドメインだが構成が簡素で情報が不十分</v>
      </c>
    </row>
    <row r="24" ht="15.75" customHeight="1">
      <c r="A24" s="3" t="str">
        <f t="shared" si="1"/>
        <v>07020</v>
      </c>
      <c r="B24" s="3" t="str">
        <f>IFERROR(__xludf.DUMMYFUNCTION("""COMPUTED_VALUE"""),"オヤム(oyam)")</f>
        <v>オヤム(oyam)</v>
      </c>
      <c r="C24" s="4" t="str">
        <f>IFERROR(__xludf.DUMMYFUNCTION("""COMPUTED_VALUE"""),"https://beauty.hotpepper.jp/kr/slnH000695557/")</f>
        <v>https://beauty.hotpepper.jp/kr/slnH000695557/</v>
      </c>
      <c r="D24" s="3" t="str">
        <f>IFERROR(__xludf.DUMMYFUNCTION("""COMPUTED_VALUE"""),"△")</f>
        <v>△</v>
      </c>
      <c r="E24" s="3" t="str">
        <f>IFERROR(__xludf.DUMMYFUNCTION("""COMPUTED_VALUE"""),"ホットペッパーのみ掲載で独立サイトがなく改善余地が大きい")</f>
        <v>ホットペッパーのみ掲載で独立サイトがなく改善余地が大きい</v>
      </c>
    </row>
    <row r="25" ht="15.75" customHeight="1">
      <c r="A25" s="3" t="str">
        <f t="shared" si="1"/>
        <v>07021</v>
      </c>
      <c r="B25" s="3" t="str">
        <f>IFERROR(__xludf.DUMMYFUNCTION("""COMPUTED_VALUE"""),"浩氣館道場")</f>
        <v>浩氣館道場</v>
      </c>
      <c r="C25" s="4" t="str">
        <f>IFERROR(__xludf.DUMMYFUNCTION("""COMPUTED_VALUE"""),"https://www.s-grid-fukuoka.com/blank-15")</f>
        <v>https://www.s-grid-fukuoka.com/blank-15</v>
      </c>
      <c r="D25" s="3" t="str">
        <f>IFERROR(__xludf.DUMMYFUNCTION("""COMPUTED_VALUE"""),"△")</f>
        <v>△</v>
      </c>
      <c r="E25" s="3" t="str">
        <f>IFERROR(__xludf.DUMMYFUNCTION("""COMPUTED_VALUE"""),"身心の統一, 人間力育成, マインドフルネス対応（情報量少なめ）")</f>
        <v>身心の統一, 人間力育成, マインドフルネス対応（情報量少なめ）</v>
      </c>
    </row>
    <row r="26" ht="15.75" customHeight="1">
      <c r="A26" s="3" t="str">
        <f t="shared" si="1"/>
        <v>07022</v>
      </c>
      <c r="B26" s="3" t="str">
        <f>IFERROR(__xludf.DUMMYFUNCTION("""COMPUTED_VALUE"""),"甲易堂")</f>
        <v>甲易堂</v>
      </c>
      <c r="C26" s="3"/>
      <c r="D26" s="3" t="str">
        <f>IFERROR(__xludf.DUMMYFUNCTION("""COMPUTED_VALUE"""),"△")</f>
        <v>△</v>
      </c>
      <c r="E26" s="3" t="str">
        <f>IFERROR(__xludf.DUMMYFUNCTION("""COMPUTED_VALUE"""),"ポータルサイト掲載のみ（独立サイト未確認）")</f>
        <v>ポータルサイト掲載のみ（独立サイト未確認）</v>
      </c>
    </row>
    <row r="27" ht="15.75" customHeight="1">
      <c r="A27" s="3" t="str">
        <f t="shared" si="1"/>
        <v>07023</v>
      </c>
      <c r="B27" s="3" t="str">
        <f>IFERROR(__xludf.DUMMYFUNCTION("""COMPUTED_VALUE"""),"癒しサロン APPLAUSE")</f>
        <v>癒しサロン APPLAUSE</v>
      </c>
      <c r="C27" s="4" t="str">
        <f>IFERROR(__xludf.DUMMYFUNCTION("""COMPUTED_VALUE"""),"https://setsuritsu-senmon.com/fukuoka/15591")</f>
        <v>https://setsuritsu-senmon.com/fukuoka/15591</v>
      </c>
      <c r="D27" s="3" t="str">
        <f>IFERROR(__xludf.DUMMYFUNCTION("""COMPUTED_VALUE"""),"△")</f>
        <v>△</v>
      </c>
      <c r="E27" s="3" t="str">
        <f>IFERROR(__xludf.DUMMYFUNCTION("""COMPUTED_VALUE"""),"レイキハンドヒーリング, 経営者向け（ポータルサイト掲載）")</f>
        <v>レイキハンドヒーリング, 経営者向け（ポータルサイト掲載）</v>
      </c>
    </row>
    <row r="28" ht="15.75" customHeight="1">
      <c r="A28" s="3" t="str">
        <f t="shared" si="1"/>
        <v>07024</v>
      </c>
      <c r="B28" s="3" t="str">
        <f>IFERROR(__xludf.DUMMYFUNCTION("""COMPUTED_VALUE"""),"マインドフルネス（heal-the-world）")</f>
        <v>マインドフルネス（heal-the-world）</v>
      </c>
      <c r="C28" s="4" t="str">
        <f>IFERROR(__xludf.DUMMYFUNCTION("""COMPUTED_VALUE"""),"https://heal-the-world.amebaownd.com/")</f>
        <v>https://heal-the-world.amebaownd.com/</v>
      </c>
      <c r="D28" s="3" t="str">
        <f>IFERROR(__xludf.DUMMYFUNCTION("""COMPUTED_VALUE"""),"△")</f>
        <v>△</v>
      </c>
      <c r="E28" s="3" t="str">
        <f>IFERROR(__xludf.DUMMYFUNCTION("""COMPUTED_VALUE"""),"セールストレーニング, 能力開発, コーチング, カウンセリング（Amebaownd）")</f>
        <v>セールストレーニング, 能力開発, コーチング, カウンセリング（Amebaownd）</v>
      </c>
    </row>
    <row r="29" ht="15.75" customHeight="1">
      <c r="A29" s="3" t="str">
        <f t="shared" si="1"/>
        <v>07025</v>
      </c>
      <c r="B29" s="3" t="str">
        <f>IFERROR(__xludf.DUMMYFUNCTION("""COMPUTED_VALUE"""),"ナルシス")</f>
        <v>ナルシス</v>
      </c>
      <c r="C29" s="4" t="str">
        <f>IFERROR(__xludf.DUMMYFUNCTION("""COMPUTED_VALUE"""),"https://beauty.hotpepper.jp/kr/slnH000723685/")</f>
        <v>https://beauty.hotpepper.jp/kr/slnH000723685/</v>
      </c>
      <c r="D29" s="3" t="str">
        <f>IFERROR(__xludf.DUMMYFUNCTION("""COMPUTED_VALUE"""),"△")</f>
        <v>△</v>
      </c>
      <c r="E29" s="3" t="str">
        <f>IFERROR(__xludf.DUMMYFUNCTION("""COMPUTED_VALUE"""),"完全予約制, 不定休（ホットペッパーのみ）")</f>
        <v>完全予約制, 不定休（ホットペッパーのみ）</v>
      </c>
    </row>
    <row r="30" ht="15.75" customHeight="1">
      <c r="A30" s="3" t="str">
        <f t="shared" si="1"/>
        <v>07026</v>
      </c>
      <c r="B30" s="3" t="str">
        <f>IFERROR(__xludf.DUMMYFUNCTION("""COMPUTED_VALUE"""),"プライベートサロン Rtam")</f>
        <v>プライベートサロン Rtam</v>
      </c>
      <c r="C30" s="4" t="str">
        <f>IFERROR(__xludf.DUMMYFUNCTION("""COMPUTED_VALUE"""),"https://mise-repo.com/12415/")</f>
        <v>https://mise-repo.com/12415/</v>
      </c>
      <c r="D30" s="3" t="str">
        <f>IFERROR(__xludf.DUMMYFUNCTION("""COMPUTED_VALUE"""),"△")</f>
        <v>△</v>
      </c>
      <c r="E30" s="3" t="str">
        <f>IFERROR(__xludf.DUMMYFUNCTION("""COMPUTED_VALUE"""),"完全予約制, オーダーメイド施術（ポータルサイト掲載）")</f>
        <v>完全予約制, オーダーメイド施術（ポータルサイト掲載）</v>
      </c>
    </row>
    <row r="31" ht="15.75" customHeight="1">
      <c r="A31" s="3" t="str">
        <f t="shared" si="1"/>
        <v>07027</v>
      </c>
      <c r="B31" s="3" t="str">
        <f>IFERROR(__xludf.DUMMYFUNCTION("""COMPUTED_VALUE"""),"トータルビューティーシェアサロン～Wa～ artemisia/L")</f>
        <v>トータルビューティーシェアサロン～Wa～ artemisia/L</v>
      </c>
      <c r="C31" s="4" t="str">
        <f>IFERROR(__xludf.DUMMYFUNCTION("""COMPUTED_VALUE"""),"https://artemisia1001.amebaownd.com/")</f>
        <v>https://artemisia1001.amebaownd.com/</v>
      </c>
      <c r="D31" s="3" t="str">
        <f>IFERROR(__xludf.DUMMYFUNCTION("""COMPUTED_VALUE"""),"△")</f>
        <v>△</v>
      </c>
      <c r="E31" s="3" t="str">
        <f>IFERROR(__xludf.DUMMYFUNCTION("""COMPUTED_VALUE"""),"ヒーリング, カウンセリング込み, ハーブセラピー（Amebaownd）")</f>
        <v>ヒーリング, カウンセリング込み, ハーブセラピー（Amebaownd）</v>
      </c>
    </row>
    <row r="32" ht="15.75" customHeight="1">
      <c r="A32" s="3" t="str">
        <f t="shared" si="1"/>
        <v>07028</v>
      </c>
      <c r="B32" s="3" t="str">
        <f>IFERROR(__xludf.DUMMYFUNCTION("""COMPUTED_VALUE"""),"臓活サロンBless")</f>
        <v>臓活サロンBless</v>
      </c>
      <c r="C32" s="4" t="str">
        <f>IFERROR(__xludf.DUMMYFUNCTION("""COMPUTED_VALUE"""),"https://salonbless.com/")</f>
        <v>https://salonbless.com/</v>
      </c>
      <c r="D32" s="3" t="str">
        <f>IFERROR(__xludf.DUMMYFUNCTION("""COMPUTED_VALUE"""),"△")</f>
        <v>△</v>
      </c>
      <c r="E32" s="3" t="str">
        <f>IFERROR(__xludf.DUMMYFUNCTION("""COMPUTED_VALUE"""),"プライベートサロン, ストレス軽減（ブログ中心）")</f>
        <v>プライベートサロン, ストレス軽減（ブログ中心）</v>
      </c>
    </row>
    <row r="33" ht="15.75" customHeight="1">
      <c r="A33" s="3" t="str">
        <f t="shared" si="1"/>
        <v>07029</v>
      </c>
      <c r="B33" s="3" t="str">
        <f>IFERROR(__xludf.DUMMYFUNCTION("""COMPUTED_VALUE"""),"コーチアプローチファシリテーター連盟（CAF連盟）")</f>
        <v>コーチアプローチファシリテーター連盟（CAF連盟）</v>
      </c>
      <c r="C33" s="4" t="str">
        <f>IFERROR(__xludf.DUMMYFUNCTION("""COMPUTED_VALUE"""),"https://hakatacaf1408.webnode.jp/")</f>
        <v>https://hakatacaf1408.webnode.jp/</v>
      </c>
      <c r="D33" s="3" t="str">
        <f>IFERROR(__xludf.DUMMYFUNCTION("""COMPUTED_VALUE"""),"△")</f>
        <v>△</v>
      </c>
      <c r="E33" s="3" t="str">
        <f>IFERROR(__xludf.DUMMYFUNCTION("""COMPUTED_VALUE"""),"個人エンパワーメント, ファシリテーション（Webnode）")</f>
        <v>個人エンパワーメント, ファシリテーション（Webnode）</v>
      </c>
    </row>
    <row r="34" ht="15.75" customHeight="1">
      <c r="A34" s="3" t="str">
        <f t="shared" si="1"/>
        <v>07030</v>
      </c>
      <c r="B34" s="3" t="str">
        <f>IFERROR(__xludf.DUMMYFUNCTION("""COMPUTED_VALUE"""),"ウインドイーラヒーリング（東京・福岡）")</f>
        <v>ウインドイーラヒーリング（東京・福岡）</v>
      </c>
      <c r="C34" s="4" t="str">
        <f>IFERROR(__xludf.DUMMYFUNCTION("""COMPUTED_VALUE"""),"https://salalablog.exblog.jp/")</f>
        <v>https://salalablog.exblog.jp/</v>
      </c>
      <c r="D34" s="3" t="str">
        <f>IFERROR(__xludf.DUMMYFUNCTION("""COMPUTED_VALUE"""),"△")</f>
        <v>△</v>
      </c>
      <c r="E34" s="3" t="str">
        <f>IFERROR(__xludf.DUMMYFUNCTION("""COMPUTED_VALUE"""),"ヘッドスパスクール, サロンオーナー向け勉強会（ExBlog）")</f>
        <v>ヘッドスパスクール, サロンオーナー向け勉強会（ExBlog）</v>
      </c>
    </row>
    <row r="35" ht="15.75" customHeight="1">
      <c r="A35" s="3" t="str">
        <f t="shared" si="1"/>
        <v>07031</v>
      </c>
      <c r="B35" s="3" t="str">
        <f>IFERROR(__xludf.DUMMYFUNCTION("""COMPUTED_VALUE"""),"小倉臨床心理相談室")</f>
        <v>小倉臨床心理相談室</v>
      </c>
      <c r="C35" s="4" t="str">
        <f>IFERROR(__xludf.DUMMYFUNCTION("""COMPUTED_VALUE"""),"https://kokurapsychanalyse.jpn.org/")</f>
        <v>https://kokurapsychanalyse.jpn.org/</v>
      </c>
      <c r="D35" s="3" t="str">
        <f>IFERROR(__xludf.DUMMYFUNCTION("""COMPUTED_VALUE"""),"△")</f>
        <v>△</v>
      </c>
      <c r="E35" s="3" t="str">
        <f>IFERROR(__xludf.DUMMYFUNCTION("""COMPUTED_VALUE"""),"精神分析とカウンセリング専門／完全予約制／基本情報のみ")</f>
        <v>精神分析とカウンセリング専門／完全予約制／基本情報のみ</v>
      </c>
    </row>
    <row r="36" ht="15.75" customHeight="1">
      <c r="A36" s="3" t="str">
        <f t="shared" si="1"/>
        <v>07032</v>
      </c>
      <c r="B36" s="3" t="str">
        <f>IFERROR(__xludf.DUMMYFUNCTION("""COMPUTED_VALUE"""),"心理カウンセリング ほたる")</f>
        <v>心理カウンセリング ほたる</v>
      </c>
      <c r="C36" s="4" t="str">
        <f>IFERROR(__xludf.DUMMYFUNCTION("""COMPUTED_VALUE"""),"https://www.ekiten.jp/shop_40874162/")</f>
        <v>https://www.ekiten.jp/shop_40874162/</v>
      </c>
      <c r="D36" s="3" t="str">
        <f>IFERROR(__xludf.DUMMYFUNCTION("""COMPUTED_VALUE"""),"△")</f>
        <v>△</v>
      </c>
      <c r="E36" s="3" t="str">
        <f>IFERROR(__xludf.DUMMYFUNCTION("""COMPUTED_VALUE"""),"完全予約制／プライベート空間／ポータルサイト掲載のみ（エキテン）")</f>
        <v>完全予約制／プライベート空間／ポータルサイト掲載のみ（エキテン）</v>
      </c>
    </row>
    <row r="37" ht="15.75" customHeight="1">
      <c r="A37" s="3" t="str">
        <f t="shared" si="1"/>
        <v>07033</v>
      </c>
      <c r="B37" s="3" t="str">
        <f>IFERROR(__xludf.DUMMYFUNCTION("""COMPUTED_VALUE"""),"こころリラクゼーションスペース Self-esteem（セルフ・エスティーム）")</f>
        <v>こころリラクゼーションスペース Self-esteem（セルフ・エスティーム）</v>
      </c>
      <c r="C37" s="4" t="str">
        <f>IFERROR(__xludf.DUMMYFUNCTION("""COMPUTED_VALUE"""),"https://reserva.be/selfesteem/about")</f>
        <v>https://reserva.be/selfesteem/about</v>
      </c>
      <c r="D37" s="3" t="str">
        <f>IFERROR(__xludf.DUMMYFUNCTION("""COMPUTED_VALUE"""),"△")</f>
        <v>△</v>
      </c>
      <c r="E37" s="3" t="str">
        <f>IFERROR(__xludf.DUMMYFUNCTION("""COMPUTED_VALUE"""),"完全予約制／予約システム利用（RESERVA）／予約サイト中心")</f>
        <v>完全予約制／予約システム利用（RESERVA）／予約サイト中心</v>
      </c>
    </row>
    <row r="38" ht="15.75" customHeight="1">
      <c r="A38" s="3" t="str">
        <f t="shared" si="1"/>
        <v>07034</v>
      </c>
      <c r="B38" s="3" t="str">
        <f>IFERROR(__xludf.DUMMYFUNCTION("""COMPUTED_VALUE"""),"愛理の占い（プライベートサロン）")</f>
        <v>愛理の占い（プライベートサロン）</v>
      </c>
      <c r="C38" s="4" t="str">
        <f>IFERROR(__xludf.DUMMYFUNCTION("""COMPUTED_VALUE"""),"http://airinouranai.com/")</f>
        <v>http://airinouranai.com/</v>
      </c>
      <c r="D38" s="3" t="str">
        <f>IFERROR(__xludf.DUMMYFUNCTION("""COMPUTED_VALUE"""),"△")</f>
        <v>△</v>
      </c>
      <c r="E38" s="3" t="str">
        <f>IFERROR(__xludf.DUMMYFUNCTION("""COMPUTED_VALUE"""),"女性専用／完全予約制／プライベートサロン／基本情報のみ")</f>
        <v>女性専用／完全予約制／プライベートサロン／基本情報のみ</v>
      </c>
    </row>
    <row r="39" ht="15.75" customHeight="1">
      <c r="A39" s="3" t="str">
        <f t="shared" si="1"/>
        <v>07035</v>
      </c>
      <c r="B39" s="3" t="str">
        <f>IFERROR(__xludf.DUMMYFUNCTION("""COMPUTED_VALUE"""),"占いサロン ロバのみみ")</f>
        <v>占いサロン ロバのみみ</v>
      </c>
      <c r="C39" s="4" t="str">
        <f>IFERROR(__xludf.DUMMYFUNCTION("""COMPUTED_VALUE"""),"http://uranai-robanomimi.com/")</f>
        <v>http://uranai-robanomimi.com/</v>
      </c>
      <c r="D39" s="3" t="str">
        <f>IFERROR(__xludf.DUMMYFUNCTION("""COMPUTED_VALUE"""),"△")</f>
        <v>△</v>
      </c>
      <c r="E39" s="3" t="str">
        <f>IFERROR(__xludf.DUMMYFUNCTION("""COMPUTED_VALUE"""),"四柱推命・手相・方位・姓名判断・東洋タロット／心理学融合／基本情報のみ")</f>
        <v>四柱推命・手相・方位・姓名判断・東洋タロット／心理学融合／基本情報のみ</v>
      </c>
    </row>
    <row r="40" ht="15.75" customHeight="1">
      <c r="A40" s="3" t="str">
        <f t="shared" si="1"/>
        <v>07036</v>
      </c>
      <c r="B40" s="3" t="str">
        <f>IFERROR(__xludf.DUMMYFUNCTION("""COMPUTED_VALUE"""),"セラピストKOTOMIの占い＆心理")</f>
        <v>セラピストKOTOMIの占い＆心理</v>
      </c>
      <c r="C40" s="4" t="str">
        <f>IFERROR(__xludf.DUMMYFUNCTION("""COMPUTED_VALUE"""),"https://kty33.crayonsite.net/")</f>
        <v>https://kty33.crayonsite.net/</v>
      </c>
      <c r="D40" s="3" t="str">
        <f>IFERROR(__xludf.DUMMYFUNCTION("""COMPUTED_VALUE"""),"△")</f>
        <v>△</v>
      </c>
      <c r="E40" s="3" t="str">
        <f>IFERROR(__xludf.DUMMYFUNCTION("""COMPUTED_VALUE"""),"個人鑑定／占い・スピリチュアルカウンセリング・TCカラー／LINE予約／無料HP作成サービス（Crayon）")</f>
        <v>個人鑑定／占い・スピリチュアルカウンセリング・TCカラー／LINE予約／無料HP作成サービス（Crayon）</v>
      </c>
    </row>
    <row r="41" ht="15.75" customHeight="1">
      <c r="A41" s="3" t="str">
        <f t="shared" si="1"/>
        <v>07037</v>
      </c>
      <c r="B41" s="3" t="str">
        <f>IFERROR(__xludf.DUMMYFUNCTION("""COMPUTED_VALUE"""),"北九州小倉スピリチュアル癒美座（イビザ）")</f>
        <v>北九州小倉スピリチュアル癒美座（イビザ）</v>
      </c>
      <c r="C41" s="4" t="str">
        <f>IFERROR(__xludf.DUMMYFUNCTION("""COMPUTED_VALUE"""),"https://spiritual-master.biz/")</f>
        <v>https://spiritual-master.biz/</v>
      </c>
      <c r="D41" s="3" t="str">
        <f>IFERROR(__xludf.DUMMYFUNCTION("""COMPUTED_VALUE"""),"△")</f>
        <v>△</v>
      </c>
      <c r="E41" s="3" t="str">
        <f>IFERROR(__xludf.DUMMYFUNCTION("""COMPUTED_VALUE"""),"美脳活性・色彩波動・遠隔ヒーリング・エネルギーワーク／基本情報のみ")</f>
        <v>美脳活性・色彩波動・遠隔ヒーリング・エネルギーワーク／基本情報のみ</v>
      </c>
    </row>
    <row r="42" ht="15.75" customHeight="1">
      <c r="A42" s="3" t="str">
        <f t="shared" si="1"/>
        <v>07038</v>
      </c>
      <c r="B42" s="3" t="str">
        <f>IFERROR(__xludf.DUMMYFUNCTION("""COMPUTED_VALUE"""),"Dear H（ディアエイチ）")</f>
        <v>Dear H（ディアエイチ）</v>
      </c>
      <c r="C42" s="4" t="str">
        <f>IFERROR(__xludf.DUMMYFUNCTION("""COMPUTED_VALUE"""),"https://www.dear-h.com/")</f>
        <v>https://www.dear-h.com/</v>
      </c>
      <c r="D42" s="3" t="str">
        <f>IFERROR(__xludf.DUMMYFUNCTION("""COMPUTED_VALUE"""),"△")</f>
        <v>△</v>
      </c>
      <c r="E42" s="3" t="str">
        <f>IFERROR(__xludf.DUMMYFUNCTION("""COMPUTED_VALUE"""),"リーディング・ヒーリング・ボディマッサージ／波動調整／基本情報のみ")</f>
        <v>リーディング・ヒーリング・ボディマッサージ／波動調整／基本情報のみ</v>
      </c>
    </row>
    <row r="43" ht="15.75" customHeight="1">
      <c r="A43" s="3" t="str">
        <f t="shared" si="1"/>
        <v>07039</v>
      </c>
      <c r="B43" s="3" t="str">
        <f>IFERROR(__xludf.DUMMYFUNCTION("""COMPUTED_VALUE"""),"アロマタッチサロン 繋")</f>
        <v>アロマタッチサロン 繋</v>
      </c>
      <c r="C43" s="4" t="str">
        <f>IFERROR(__xludf.DUMMYFUNCTION("""COMPUTED_VALUE"""),"https://aromatouch-tsunagu.crayonsite.info/")</f>
        <v>https://aromatouch-tsunagu.crayonsite.info/</v>
      </c>
      <c r="D43" s="3" t="str">
        <f>IFERROR(__xludf.DUMMYFUNCTION("""COMPUTED_VALUE"""),"△")</f>
        <v>△</v>
      </c>
      <c r="E43" s="3" t="str">
        <f>IFERROR(__xludf.DUMMYFUNCTION("""COMPUTED_VALUE"""),"一軒家サロン／1日4組まで／完全予約制／無料HP作成サービス（Crayon）")</f>
        <v>一軒家サロン／1日4組まで／完全予約制／無料HP作成サービス（Crayon）</v>
      </c>
    </row>
    <row r="44" ht="15.75" customHeight="1">
      <c r="A44" s="3" t="str">
        <f t="shared" si="1"/>
        <v>07040</v>
      </c>
      <c r="B44" s="3" t="str">
        <f>IFERROR(__xludf.DUMMYFUNCTION("""COMPUTED_VALUE"""),"Body Care Salon 822")</f>
        <v>Body Care Salon 822</v>
      </c>
      <c r="C44" s="4" t="str">
        <f>IFERROR(__xludf.DUMMYFUNCTION("""COMPUTED_VALUE"""),"https://www.bodycaresalon-822.com/")</f>
        <v>https://www.bodycaresalon-822.com/</v>
      </c>
      <c r="D44" s="3" t="str">
        <f>IFERROR(__xludf.DUMMYFUNCTION("""COMPUTED_VALUE"""),"△")</f>
        <v>△</v>
      </c>
      <c r="E44" s="3" t="str">
        <f>IFERROR(__xludf.DUMMYFUNCTION("""COMPUTED_VALUE"""),"完全予約制／LINE対応／基本情報のみ")</f>
        <v>完全予約制／LINE対応／基本情報のみ</v>
      </c>
    </row>
    <row r="45" ht="15.75" customHeight="1">
      <c r="A45" s="3" t="str">
        <f t="shared" si="1"/>
        <v>07041</v>
      </c>
      <c r="B45" s="3" t="str">
        <f>IFERROR(__xludf.DUMMYFUNCTION("""COMPUTED_VALUE"""),"ダイエットサロン スパイルソーレ")</f>
        <v>ダイエットサロン スパイルソーレ</v>
      </c>
      <c r="C45" s="4" t="str">
        <f>IFERROR(__xludf.DUMMYFUNCTION("""COMPUTED_VALUE"""),"https://clarayoga.net/yoga")</f>
        <v>https://clarayoga.net/yoga</v>
      </c>
      <c r="D45" s="3" t="str">
        <f>IFERROR(__xludf.DUMMYFUNCTION("""COMPUTED_VALUE"""),"△")</f>
        <v>△</v>
      </c>
      <c r="E45" s="3" t="str">
        <f>IFERROR(__xludf.DUMMYFUNCTION("""COMPUTED_VALUE"""),"マタニティヨガ・産後ヨガ・個人レッスン／基本情報のみ")</f>
        <v>マタニティヨガ・産後ヨガ・個人レッスン／基本情報のみ</v>
      </c>
    </row>
    <row r="46" ht="15.75" customHeight="1">
      <c r="A46" s="3" t="str">
        <f t="shared" si="1"/>
        <v>07042</v>
      </c>
      <c r="B46" s="3" t="str">
        <f>IFERROR(__xludf.DUMMYFUNCTION("""COMPUTED_VALUE"""),"灯（ともしび）カウンセリング")</f>
        <v>灯（ともしび）カウンセリング</v>
      </c>
      <c r="C46" s="4" t="str">
        <f>IFERROR(__xludf.DUMMYFUNCTION("""COMPUTED_VALUE"""),"https://tomoshibi-room.jimdosite.com/")</f>
        <v>https://tomoshibi-room.jimdosite.com/</v>
      </c>
      <c r="D46" s="3" t="str">
        <f>IFERROR(__xludf.DUMMYFUNCTION("""COMPUTED_VALUE"""),"△")</f>
        <v>△</v>
      </c>
      <c r="E46" s="3" t="str">
        <f>IFERROR(__xludf.DUMMYFUNCTION("""COMPUTED_VALUE"""),"Jimdoサイト／完全予約制／カウンセリング専門／代表:山口敏晃／初回50分8,800円／月-金10:00-20:00・土日10:00-17:00")</f>
        <v>Jimdoサイト／完全予約制／カウンセリング専門／代表:山口敏晃／初回50分8,800円／月-金10:00-20:00・土日10:00-17:00</v>
      </c>
    </row>
    <row r="47" ht="15.75" customHeight="1">
      <c r="A47" s="3" t="str">
        <f t="shared" si="1"/>
        <v>07043</v>
      </c>
      <c r="B47" s="3" t="str">
        <f>IFERROR(__xludf.DUMMYFUNCTION("""COMPUTED_VALUE"""),"岡野式神気ヒーリングサロン")</f>
        <v>岡野式神気ヒーリングサロン</v>
      </c>
      <c r="C47" s="4" t="str">
        <f>IFERROR(__xludf.DUMMYFUNCTION("""COMPUTED_VALUE"""),"https://shinki-healing.com/")</f>
        <v>https://shinki-healing.com/</v>
      </c>
      <c r="D47" s="3" t="str">
        <f>IFERROR(__xludf.DUMMYFUNCTION("""COMPUTED_VALUE"""),"△")</f>
        <v>△</v>
      </c>
      <c r="E47" s="3" t="str">
        <f>IFERROR(__xludf.DUMMYFUNCTION("""COMPUTED_VALUE"""),"ヒーリング／除霊／霊視／占い／スピリチュアル／15分3,000円〜")</f>
        <v>ヒーリング／除霊／霊視／占い／スピリチュアル／15分3,000円〜</v>
      </c>
    </row>
    <row r="48" ht="15.75" customHeight="1">
      <c r="A48" s="3" t="str">
        <f t="shared" si="1"/>
        <v>07044</v>
      </c>
      <c r="B48" s="3" t="str">
        <f>IFERROR(__xludf.DUMMYFUNCTION("""COMPUTED_VALUE"""),"あいのわアロマ&amp;ヒーリングスペース")</f>
        <v>あいのわアロマ&amp;ヒーリングスペース</v>
      </c>
      <c r="C48" s="4" t="str">
        <f>IFERROR(__xludf.DUMMYFUNCTION("""COMPUTED_VALUE"""),"https://www.ainowaaroma.com/")</f>
        <v>https://www.ainowaaroma.com/</v>
      </c>
      <c r="D48" s="3" t="str">
        <f>IFERROR(__xludf.DUMMYFUNCTION("""COMPUTED_VALUE"""),"△")</f>
        <v>△</v>
      </c>
      <c r="E48" s="3" t="str">
        <f>IFERROR(__xludf.DUMMYFUNCTION("""COMPUTED_VALUE"""),"アロマセラピー／レイキヒーリング／会員制（入会金11,000円・年会費3,300円）")</f>
        <v>アロマセラピー／レイキヒーリング／会員制（入会金11,000円・年会費3,300円）</v>
      </c>
    </row>
    <row r="49" ht="15.75" customHeight="1">
      <c r="A49" s="3" t="str">
        <f t="shared" si="1"/>
        <v>07045</v>
      </c>
      <c r="B49" s="3" t="str">
        <f>IFERROR(__xludf.DUMMYFUNCTION("""COMPUTED_VALUE"""),"ソフィア（大牟田市）")</f>
        <v>ソフィア（大牟田市）</v>
      </c>
      <c r="C49" s="4" t="str">
        <f>IFERROR(__xludf.DUMMYFUNCTION("""COMPUTED_VALUE"""),"https://www.sophia-omuta.com/")</f>
        <v>https://www.sophia-omuta.com/</v>
      </c>
      <c r="D49" s="3" t="str">
        <f>IFERROR(__xludf.DUMMYFUNCTION("""COMPUTED_VALUE"""),"△")</f>
        <v>△</v>
      </c>
      <c r="E49" s="3" t="str">
        <f>IFERROR(__xludf.DUMMYFUNCTION("""COMPUTED_VALUE"""),"カウンセリング／心理検査／予約制")</f>
        <v>カウンセリング／心理検査／予約制</v>
      </c>
    </row>
    <row r="50" ht="15.75" customHeight="1">
      <c r="A50" s="3" t="str">
        <f t="shared" si="1"/>
        <v>07046</v>
      </c>
      <c r="B50" s="3" t="str">
        <f>IFERROR(__xludf.DUMMYFUNCTION("""COMPUTED_VALUE"""),"Medical Salon K.STELLA")</f>
        <v>Medical Salon K.STELLA</v>
      </c>
      <c r="C50" s="4" t="str">
        <f>IFERROR(__xludf.DUMMYFUNCTION("""COMPUTED_VALUE"""),"https://beauty.hotpepper.jp/kr/slnH000558273/")</f>
        <v>https://beauty.hotpepper.jp/kr/slnH000558273/</v>
      </c>
      <c r="D50" s="3" t="str">
        <f>IFERROR(__xludf.DUMMYFUNCTION("""COMPUTED_VALUE"""),"△")</f>
        <v>△</v>
      </c>
      <c r="E50" s="3" t="str">
        <f>IFERROR(__xludf.DUMMYFUNCTION("""COMPUTED_VALUE"""),"脳内エステ／完全予約制／10:00-20:00")</f>
        <v>脳内エステ／完全予約制／10:00-20:00</v>
      </c>
    </row>
    <row r="51" ht="15.75" customHeight="1">
      <c r="A51" s="3" t="str">
        <f t="shared" si="1"/>
        <v>07047</v>
      </c>
      <c r="B51" s="3" t="str">
        <f>IFERROR(__xludf.DUMMYFUNCTION("""COMPUTED_VALUE"""),"こころの相談センター")</f>
        <v>こころの相談センター</v>
      </c>
      <c r="C51" s="4" t="str">
        <f>IFERROR(__xludf.DUMMYFUNCTION("""COMPUTED_VALUE"""),"https://my-best.com/18277")</f>
        <v>https://my-best.com/18277</v>
      </c>
      <c r="D51" s="3" t="str">
        <f>IFERROR(__xludf.DUMMYFUNCTION("""COMPUTED_VALUE"""),"△")</f>
        <v>△</v>
      </c>
      <c r="E51" s="3" t="str">
        <f>IFERROR(__xludf.DUMMYFUNCTION("""COMPUTED_VALUE"""),"無料電話相談可（記載）／完全予約制／個人初回5,500円・ペア初回8,800円／土10:00-19:00・日10:00-16:00")</f>
        <v>無料電話相談可（記載）／完全予約制／個人初回5,500円・ペア初回8,800円／土10:00-19:00・日10:00-16:00</v>
      </c>
    </row>
    <row r="52" ht="15.75" customHeight="1">
      <c r="A52" s="3" t="str">
        <f t="shared" si="1"/>
        <v>07048</v>
      </c>
      <c r="B52" s="3" t="str">
        <f>IFERROR(__xludf.DUMMYFUNCTION("""COMPUTED_VALUE"""),"ゆうメンタルクリニック")</f>
        <v>ゆうメンタルクリニック</v>
      </c>
      <c r="C52" s="4" t="str">
        <f>IFERROR(__xludf.DUMMYFUNCTION("""COMPUTED_VALUE"""),"https://www.yu-mentalclinic.com/")</f>
        <v>https://www.yu-mentalclinic.com/</v>
      </c>
      <c r="D52" s="3" t="str">
        <f>IFERROR(__xludf.DUMMYFUNCTION("""COMPUTED_VALUE"""),"△")</f>
        <v>△</v>
      </c>
      <c r="E52" s="3" t="str">
        <f>IFERROR(__xludf.DUMMYFUNCTION("""COMPUTED_VALUE"""),"心療内科／精神科／カウンセリング重視（記載）")</f>
        <v>心療内科／精神科／カウンセリング重視（記載）</v>
      </c>
    </row>
    <row r="53" ht="15.75" customHeight="1">
      <c r="A53" s="3" t="str">
        <f t="shared" si="1"/>
        <v>07049</v>
      </c>
      <c r="B53" s="3" t="str">
        <f>IFERROR(__xludf.DUMMYFUNCTION("""COMPUTED_VALUE"""),"みなもいとしま（学習支援）")</f>
        <v>みなもいとしま（学習支援）</v>
      </c>
      <c r="C53" s="4" t="str">
        <f>IFERROR(__xludf.DUMMYFUNCTION("""COMPUTED_VALUE"""),"https://www.minamoitoshima.com/counseling")</f>
        <v>https://www.minamoitoshima.com/counseling</v>
      </c>
      <c r="D53" s="3" t="str">
        <f>IFERROR(__xludf.DUMMYFUNCTION("""COMPUTED_VALUE"""),"△")</f>
        <v>△</v>
      </c>
      <c r="E53" s="3" t="str">
        <f>IFERROR(__xludf.DUMMYFUNCTION("""COMPUTED_VALUE"""),"個別相談／カウンセリング／完全予約制")</f>
        <v>個別相談／カウンセリング／完全予約制</v>
      </c>
    </row>
    <row r="54" ht="15.75" customHeight="1">
      <c r="A54" s="3" t="str">
        <f t="shared" si="1"/>
        <v>07050</v>
      </c>
      <c r="B54" s="3" t="str">
        <f>IFERROR(__xludf.DUMMYFUNCTION("""COMPUTED_VALUE"""),"リトリートサロンいらよい")</f>
        <v>リトリートサロンいらよい</v>
      </c>
      <c r="C54" s="4" t="str">
        <f>IFERROR(__xludf.DUMMYFUNCTION("""COMPUTED_VALUE"""),"https://irayoi.com/voice")</f>
        <v>https://irayoi.com/voice</v>
      </c>
      <c r="D54" s="3" t="str">
        <f>IFERROR(__xludf.DUMMYFUNCTION("""COMPUTED_VALUE"""),"△")</f>
        <v>△</v>
      </c>
      <c r="E54" s="3" t="str">
        <f>IFERROR(__xludf.DUMMYFUNCTION("""COMPUTED_VALUE"""),"マッサージ／傾聴／セラピー")</f>
        <v>マッサージ／傾聴／セラピー</v>
      </c>
    </row>
    <row r="55" ht="15.75" customHeight="1">
      <c r="A55" s="3" t="str">
        <f t="shared" si="1"/>
        <v>07051</v>
      </c>
      <c r="B55" s="3" t="str">
        <f>IFERROR(__xludf.DUMMYFUNCTION("""COMPUTED_VALUE"""),"いとすき（傾聴力アップ講座）")</f>
        <v>いとすき（傾聴力アップ講座）</v>
      </c>
      <c r="C55" s="4" t="str">
        <f>IFERROR(__xludf.DUMMYFUNCTION("""COMPUTED_VALUE"""),"https://itosuki.jimdofree.com/")</f>
        <v>https://itosuki.jimdofree.com/</v>
      </c>
      <c r="D55" s="3" t="str">
        <f>IFERROR(__xludf.DUMMYFUNCTION("""COMPUTED_VALUE"""),"△")</f>
        <v>△</v>
      </c>
      <c r="E55" s="3" t="str">
        <f>IFERROR(__xludf.DUMMYFUNCTION("""COMPUTED_VALUE"""),"傾聴力講座／完全予約制")</f>
        <v>傾聴力講座／完全予約制</v>
      </c>
    </row>
    <row r="56" ht="15.75" customHeight="1">
      <c r="A56" s="3" t="str">
        <f t="shared" si="1"/>
        <v>07052</v>
      </c>
      <c r="B56" s="3" t="str">
        <f>IFERROR(__xludf.DUMMYFUNCTION("""COMPUTED_VALUE"""),"salon結(yui)")</f>
        <v>salon結(yui)</v>
      </c>
      <c r="C56" s="4" t="str">
        <f>IFERROR(__xludf.DUMMYFUNCTION("""COMPUTED_VALUE"""),"https://beauty.hotpepper.jp/kr/slnH000752909/")</f>
        <v>https://beauty.hotpepper.jp/kr/slnH000752909/</v>
      </c>
      <c r="D56" s="3" t="str">
        <f>IFERROR(__xludf.DUMMYFUNCTION("""COMPUTED_VALUE"""),"△")</f>
        <v>△</v>
      </c>
      <c r="E56" s="3" t="str">
        <f>IFERROR(__xludf.DUMMYFUNCTION("""COMPUTED_VALUE"""),"完全予約制／10:00-20:00（最終受付18:00）")</f>
        <v>完全予約制／10:00-20:00（最終受付18:00）</v>
      </c>
    </row>
    <row r="57" ht="15.75" customHeight="1">
      <c r="A57" s="3" t="str">
        <f t="shared" si="1"/>
        <v>07053</v>
      </c>
      <c r="B57" s="3" t="str">
        <f>IFERROR(__xludf.DUMMYFUNCTION("""COMPUTED_VALUE"""),"ココリセ（Cocorise）")</f>
        <v>ココリセ（Cocorise）</v>
      </c>
      <c r="C57" s="4" t="str">
        <f>IFERROR(__xludf.DUMMYFUNCTION("""COMPUTED_VALUE"""),"https://www.cocorise.com/about/")</f>
        <v>https://www.cocorise.com/about/</v>
      </c>
      <c r="D57" s="3" t="str">
        <f>IFERROR(__xludf.DUMMYFUNCTION("""COMPUTED_VALUE"""),"△")</f>
        <v>△</v>
      </c>
      <c r="E57" s="3" t="str">
        <f>IFERROR(__xludf.DUMMYFUNCTION("""COMPUTED_VALUE"""),"カウンセリング／セラピー／完全予約制／10:00-21:00（記載）")</f>
        <v>カウンセリング／セラピー／完全予約制／10:00-21:00（記載）</v>
      </c>
    </row>
    <row r="58" ht="15.75" customHeight="1">
      <c r="A58" s="3" t="str">
        <f t="shared" si="1"/>
        <v>07054</v>
      </c>
      <c r="B58" s="3" t="str">
        <f>IFERROR(__xludf.DUMMYFUNCTION("""COMPUTED_VALUE"""),"福岡県の夫婦カウンセリング（Tially）")</f>
        <v>福岡県の夫婦カウンセリング（Tially）</v>
      </c>
      <c r="C58" s="4" t="str">
        <f>IFERROR(__xludf.DUMMYFUNCTION("""COMPUTED_VALUE"""),"https://www.tially.jp/fukuoka/")</f>
        <v>https://www.tially.jp/fukuoka/</v>
      </c>
      <c r="D58" s="3" t="str">
        <f>IFERROR(__xludf.DUMMYFUNCTION("""COMPUTED_VALUE"""),"△")</f>
        <v>△</v>
      </c>
      <c r="E58" s="3" t="str">
        <f>IFERROR(__xludf.DUMMYFUNCTION("""COMPUTED_VALUE"""),"夫婦カウンセリング／完全予約制")</f>
        <v>夫婦カウンセリング／完全予約制</v>
      </c>
    </row>
    <row r="59" ht="15.75" customHeight="1">
      <c r="A59" s="3" t="str">
        <f t="shared" si="1"/>
        <v>07055</v>
      </c>
      <c r="B59" s="3" t="str">
        <f>IFERROR(__xludf.DUMMYFUNCTION("""COMPUTED_VALUE"""),"ココロパートナーズ")</f>
        <v>ココロパートナーズ</v>
      </c>
      <c r="C59" s="4" t="str">
        <f>IFERROR(__xludf.DUMMYFUNCTION("""COMPUTED_VALUE"""),"https://cocoro-pt.com/")</f>
        <v>https://cocoro-pt.com/</v>
      </c>
      <c r="D59" s="3" t="str">
        <f>IFERROR(__xludf.DUMMYFUNCTION("""COMPUTED_VALUE"""),"△")</f>
        <v>△</v>
      </c>
      <c r="E59" s="3" t="str">
        <f>IFERROR(__xludf.DUMMYFUNCTION("""COMPUTED_VALUE"""),"カウンセリング／カップルカウンセリング／オンライン対応／50分3,850円")</f>
        <v>カウンセリング／カップルカウンセリング／オンライン対応／50分3,850円</v>
      </c>
    </row>
    <row r="60" ht="15.75" customHeight="1">
      <c r="A60" s="3" t="str">
        <f t="shared" si="1"/>
        <v>07056</v>
      </c>
      <c r="B60" s="5" t="s">
        <v>10</v>
      </c>
    </row>
    <row r="61" ht="15.75" customHeight="1">
      <c r="A61" s="3" t="str">
        <f t="shared" si="1"/>
        <v>07057</v>
      </c>
      <c r="B61" s="3" t="str">
        <f>IFERROR(__xludf.DUMMYFUNCTION("QUERY('愛知'!A:D, ""select * where C='△'"", 1)"),"名称")</f>
        <v>名称</v>
      </c>
      <c r="C61" s="3" t="str">
        <f>IFERROR(__xludf.DUMMYFUNCTION("""COMPUTED_VALUE"""),"URL")</f>
        <v>URL</v>
      </c>
      <c r="D61" s="3" t="str">
        <f>IFERROR(__xludf.DUMMYFUNCTION("""COMPUTED_VALUE"""),"Web評価")</f>
        <v>Web評価</v>
      </c>
      <c r="E61" s="3" t="str">
        <f>IFERROR(__xludf.DUMMYFUNCTION("""COMPUTED_VALUE"""),"特徴/メモ")</f>
        <v>特徴/メモ</v>
      </c>
    </row>
    <row r="62" ht="15.75" customHeight="1">
      <c r="A62" s="3" t="str">
        <f t="shared" si="1"/>
        <v>07058</v>
      </c>
      <c r="B62" s="3" t="str">
        <f>IFERROR(__xludf.DUMMYFUNCTION("""COMPUTED_VALUE"""),"カウンセリング*スペース こころの気持ち")</f>
        <v>カウンセリング*スペース こころの気持ち</v>
      </c>
      <c r="C62" s="4" t="str">
        <f>IFERROR(__xludf.DUMMYFUNCTION("""COMPUTED_VALUE"""),"https://www.cs-kokoronokimoti.net/")</f>
        <v>https://www.cs-kokoronokimoti.net/</v>
      </c>
      <c r="D62" s="3" t="str">
        <f>IFERROR(__xludf.DUMMYFUNCTION("""COMPUTED_VALUE"""),"△")</f>
        <v>△</v>
      </c>
      <c r="E62" s="3" t="str">
        <f>IFERROR(__xludf.DUMMYFUNCTION("""COMPUTED_VALUE"""),"傾聴・対話中心／情報散在")</f>
        <v>傾聴・対話中心／情報散在</v>
      </c>
    </row>
    <row r="63" ht="15.75" customHeight="1">
      <c r="A63" s="3" t="str">
        <f t="shared" si="1"/>
        <v>07059</v>
      </c>
      <c r="B63" s="3" t="str">
        <f>IFERROR(__xludf.DUMMYFUNCTION("""COMPUTED_VALUE"""),"心理カウンセリングオフィスうらら")</f>
        <v>心理カウンセリングオフィスうらら</v>
      </c>
      <c r="C63" s="4" t="str">
        <f>IFERROR(__xludf.DUMMYFUNCTION("""COMPUTED_VALUE"""),"https://ula-la.jp/36/57/")</f>
        <v>https://ula-la.jp/36/57/</v>
      </c>
      <c r="D63" s="3" t="str">
        <f>IFERROR(__xludf.DUMMYFUNCTION("""COMPUTED_VALUE"""),"△")</f>
        <v>△</v>
      </c>
      <c r="E63" s="3" t="str">
        <f>IFERROR(__xludf.DUMMYFUNCTION("""COMPUTED_VALUE"""),"名駅近く／構成簡素")</f>
        <v>名駅近く／構成簡素</v>
      </c>
    </row>
    <row r="64" ht="15.75" customHeight="1">
      <c r="A64" s="3" t="str">
        <f t="shared" si="1"/>
        <v>07060</v>
      </c>
      <c r="B64" s="3" t="str">
        <f>IFERROR(__xludf.DUMMYFUNCTION("""COMPUTED_VALUE"""),"ブレイントレイン名古屋")</f>
        <v>ブレイントレイン名古屋</v>
      </c>
      <c r="C64" s="4" t="str">
        <f>IFERROR(__xludf.DUMMYFUNCTION("""COMPUTED_VALUE"""),"https://braintrainnagoya.work/counseling/")</f>
        <v>https://braintrainnagoya.work/counseling/</v>
      </c>
      <c r="D64" s="3" t="str">
        <f>IFERROR(__xludf.DUMMYFUNCTION("""COMPUTED_VALUE"""),"△")</f>
        <v>△</v>
      </c>
      <c r="E64" s="3" t="str">
        <f>IFERROR(__xludf.DUMMYFUNCTION("""COMPUTED_VALUE"""),"NLP・解決志向／情報不足")</f>
        <v>NLP・解決志向／情報不足</v>
      </c>
    </row>
    <row r="65" ht="15.75" customHeight="1">
      <c r="A65" s="3" t="str">
        <f t="shared" si="1"/>
        <v>07061</v>
      </c>
      <c r="B65" s="3" t="str">
        <f>IFERROR(__xludf.DUMMYFUNCTION("""COMPUTED_VALUE"""),"名古屋はじめの一歩")</f>
        <v>名古屋はじめの一歩</v>
      </c>
      <c r="C65" s="4" t="str">
        <f>IFERROR(__xludf.DUMMYFUNCTION("""COMPUTED_VALUE"""),"https://nagoyahajimenoippo.com/service/")</f>
        <v>https://nagoyahajimenoippo.com/service/</v>
      </c>
      <c r="D65" s="3" t="str">
        <f>IFERROR(__xludf.DUMMYFUNCTION("""COMPUTED_VALUE"""),"△")</f>
        <v>△</v>
      </c>
      <c r="E65" s="3" t="str">
        <f>IFERROR(__xludf.DUMMYFUNCTION("""COMPUTED_VALUE"""),"自己実現支援／情報不足")</f>
        <v>自己実現支援／情報不足</v>
      </c>
    </row>
    <row r="66" ht="15.75" customHeight="1">
      <c r="A66" s="3" t="str">
        <f t="shared" si="1"/>
        <v>07062</v>
      </c>
      <c r="B66" s="3" t="str">
        <f>IFERROR(__xludf.DUMMYFUNCTION("""COMPUTED_VALUE"""),"Sophia心理カウンセリング")</f>
        <v>Sophia心理カウンセリング</v>
      </c>
      <c r="C66" s="4" t="str">
        <f>IFERROR(__xludf.DUMMYFUNCTION("""COMPUTED_VALUE"""),"https://sophia-21.com/services/counseling")</f>
        <v>https://sophia-21.com/services/counseling</v>
      </c>
      <c r="D66" s="3" t="str">
        <f>IFERROR(__xludf.DUMMYFUNCTION("""COMPUTED_VALUE"""),"△")</f>
        <v>△</v>
      </c>
      <c r="E66" s="3" t="str">
        <f>IFERROR(__xludf.DUMMYFUNCTION("""COMPUTED_VALUE"""),"完全予約制／料金明記あるが構成弱い")</f>
        <v>完全予約制／料金明記あるが構成弱い</v>
      </c>
    </row>
    <row r="67" ht="15.75" customHeight="1">
      <c r="A67" s="3" t="str">
        <f t="shared" si="1"/>
        <v>07063</v>
      </c>
      <c r="B67" s="3" t="str">
        <f>IFERROR(__xludf.DUMMYFUNCTION("""COMPUTED_VALUE"""),"小規模プライベートサロン（複数）")</f>
        <v>小規模プライベートサロン（複数）</v>
      </c>
      <c r="C67" s="4" t="str">
        <f>IFERROR(__xludf.DUMMYFUNCTION("""COMPUTED_VALUE"""),"https://beauty.hotpepper.jp/relax/svcSC/macCA/grcGR01_spdL124/")</f>
        <v>https://beauty.hotpepper.jp/relax/svcSC/macCA/grcGR01_spdL124/</v>
      </c>
      <c r="D67" s="3" t="str">
        <f>IFERROR(__xludf.DUMMYFUNCTION("""COMPUTED_VALUE"""),"△")</f>
        <v>△</v>
      </c>
      <c r="E67" s="3" t="str">
        <f>IFERROR(__xludf.DUMMYFUNCTION("""COMPUTED_VALUE"""),"ホットペッパー依存／独立サイトなし")</f>
        <v>ホットペッパー依存／独立サイトなし</v>
      </c>
    </row>
    <row r="68" ht="15.75" customHeight="1">
      <c r="A68" s="3" t="str">
        <f t="shared" si="1"/>
        <v>07064</v>
      </c>
      <c r="B68" s="3" t="str">
        <f>IFERROR(__xludf.DUMMYFUNCTION("""COMPUTED_VALUE"""),"名古屋・金山の完全予約制リラクゼーション")</f>
        <v>名古屋・金山の完全予約制リラクゼーション</v>
      </c>
      <c r="C68" s="4" t="str">
        <f>IFERROR(__xludf.DUMMYFUNCTION("""COMPUTED_VALUE"""),"https://layana-relaxation.com/")</f>
        <v>https://layana-relaxation.com/</v>
      </c>
      <c r="D68" s="3" t="str">
        <f>IFERROR(__xludf.DUMMYFUNCTION("""COMPUTED_VALUE"""),"△")</f>
        <v>△</v>
      </c>
      <c r="E68" s="3" t="str">
        <f>IFERROR(__xludf.DUMMYFUNCTION("""COMPUTED_VALUE"""),"完全個室／構成・導線弱い")</f>
        <v>完全個室／構成・導線弱い</v>
      </c>
    </row>
    <row r="69" ht="15.75" customHeight="1">
      <c r="A69" s="3" t="str">
        <f t="shared" si="1"/>
        <v>07065</v>
      </c>
      <c r="B69" s="3" t="str">
        <f>IFERROR(__xludf.DUMMYFUNCTION("""COMPUTED_VALUE"""),"ハンドセラピスト肌質改善専門サロン～le´a～")</f>
        <v>ハンドセラピスト肌質改善専門サロン～le´a～</v>
      </c>
      <c r="C69" s="4" t="str">
        <f>IFERROR(__xludf.DUMMYFUNCTION("""COMPUTED_VALUE"""),"https://lea0910.jp/")</f>
        <v>https://lea0910.jp/</v>
      </c>
      <c r="D69" s="3" t="str">
        <f>IFERROR(__xludf.DUMMYFUNCTION("""COMPUTED_VALUE"""),"△")</f>
        <v>△</v>
      </c>
      <c r="E69" s="3" t="str">
        <f>IFERROR(__xludf.DUMMYFUNCTION("""COMPUTED_VALUE"""),"女性専用／情報散在")</f>
        <v>女性専用／情報散在</v>
      </c>
    </row>
    <row r="70" ht="15.75" customHeight="1">
      <c r="A70" s="3" t="str">
        <f t="shared" si="1"/>
        <v>07066</v>
      </c>
      <c r="B70" s="3" t="str">
        <f>IFERROR(__xludf.DUMMYFUNCTION("""COMPUTED_VALUE"""),"完全予約制relaxation salon OIDE")</f>
        <v>完全予約制relaxation salon OIDE</v>
      </c>
      <c r="C70" s="4" t="str">
        <f>IFERROR(__xludf.DUMMYFUNCTION("""COMPUTED_VALUE"""),"https://oide222.com/2023/05/19/2/")</f>
        <v>https://oide222.com/2023/05/19/2/</v>
      </c>
      <c r="D70" s="3" t="str">
        <f>IFERROR(__xludf.DUMMYFUNCTION("""COMPUTED_VALUE"""),"△")</f>
        <v>△</v>
      </c>
      <c r="E70" s="3" t="str">
        <f>IFERROR(__xludf.DUMMYFUNCTION("""COMPUTED_VALUE"""),"ブログ下層ページのみ")</f>
        <v>ブログ下層ページのみ</v>
      </c>
    </row>
    <row r="71" ht="15.75" customHeight="1">
      <c r="A71" s="3" t="str">
        <f t="shared" si="1"/>
        <v>07067</v>
      </c>
      <c r="B71" s="3" t="str">
        <f>IFERROR(__xludf.DUMMYFUNCTION("""COMPUTED_VALUE"""),"レインドロップ アロマヒーリングサロンPASION")</f>
        <v>レインドロップ アロマヒーリングサロンPASION</v>
      </c>
      <c r="C71" s="4" t="str">
        <f>IFERROR(__xludf.DUMMYFUNCTION("""COMPUTED_VALUE"""),"https://coubic.com/raindrop")</f>
        <v>https://coubic.com/raindrop</v>
      </c>
      <c r="D71" s="3" t="str">
        <f>IFERROR(__xludf.DUMMYFUNCTION("""COMPUTED_VALUE"""),"△")</f>
        <v>△</v>
      </c>
      <c r="E71" s="3" t="str">
        <f>IFERROR(__xludf.DUMMYFUNCTION("""COMPUTED_VALUE"""),"予約システム中心／情報散在")</f>
        <v>予約システム中心／情報散在</v>
      </c>
    </row>
    <row r="72" ht="15.75" customHeight="1">
      <c r="A72" s="3" t="str">
        <f t="shared" si="1"/>
        <v>07068</v>
      </c>
      <c r="B72" s="3" t="str">
        <f>IFERROR(__xludf.DUMMYFUNCTION("""COMPUTED_VALUE"""),"名古屋占いカフェ スピリチュアル")</f>
        <v>名古屋占いカフェ スピリチュアル</v>
      </c>
      <c r="C72" s="4" t="str">
        <f>IFERROR(__xludf.DUMMYFUNCTION("""COMPUTED_VALUE"""),"https://uranaicafe.jp/spiritual/list.php")</f>
        <v>https://uranaicafe.jp/spiritual/list.php</v>
      </c>
      <c r="D72" s="3" t="str">
        <f>IFERROR(__xludf.DUMMYFUNCTION("""COMPUTED_VALUE"""),"△")</f>
        <v>△</v>
      </c>
      <c r="E72" s="3" t="str">
        <f>IFERROR(__xludf.DUMMYFUNCTION("""COMPUTED_VALUE"""),"ポータル型／独立性弱い")</f>
        <v>ポータル型／独立性弱い</v>
      </c>
    </row>
    <row r="73" ht="15.75" customHeight="1">
      <c r="A73" s="3" t="str">
        <f t="shared" si="1"/>
        <v>07069</v>
      </c>
      <c r="B73" s="3" t="str">
        <f>IFERROR(__xludf.DUMMYFUNCTION("""COMPUTED_VALUE"""),"占いの館ノア")</f>
        <v>占いの館ノア</v>
      </c>
      <c r="C73" s="4" t="str">
        <f>IFERROR(__xludf.DUMMYFUNCTION("""COMPUTED_VALUE"""),"https://noa-fortune.com/")</f>
        <v>https://noa-fortune.com/</v>
      </c>
      <c r="D73" s="3" t="str">
        <f>IFERROR(__xludf.DUMMYFUNCTION("""COMPUTED_VALUE"""),"△")</f>
        <v>△</v>
      </c>
      <c r="E73" s="3" t="str">
        <f>IFERROR(__xludf.DUMMYFUNCTION("""COMPUTED_VALUE"""),"老舗／情報・導線が古い”")</f>
        <v>老舗／情報・導線が古い”</v>
      </c>
    </row>
    <row r="74" ht="15.75" customHeight="1">
      <c r="A74" s="3" t="str">
        <f t="shared" si="1"/>
        <v>07070</v>
      </c>
      <c r="B74" s="3" t="str">
        <f>IFERROR(__xludf.DUMMYFUNCTION("""COMPUTED_VALUE"""),"NPO法人メンタルセラピスト協会")</f>
        <v>NPO法人メンタルセラピスト協会</v>
      </c>
      <c r="C74" s="4" t="str">
        <f>IFERROR(__xludf.DUMMYFUNCTION("""COMPUTED_VALUE"""),"https://mta-nanairo.jimdoweb.com/")</f>
        <v>https://mta-nanairo.jimdoweb.com/</v>
      </c>
      <c r="D74" s="3" t="str">
        <f>IFERROR(__xludf.DUMMYFUNCTION("""COMPUTED_VALUE"""),"△")</f>
        <v>△</v>
      </c>
      <c r="E74" s="3" t="str">
        <f>IFERROR(__xludf.DUMMYFUNCTION("""COMPUTED_VALUE"""),"Jimdo／情報散在")</f>
        <v>Jimdo／情報散在</v>
      </c>
    </row>
    <row r="75" ht="15.75" customHeight="1">
      <c r="A75" s="3" t="str">
        <f t="shared" si="1"/>
        <v>07071</v>
      </c>
      <c r="B75" s="3" t="str">
        <f>IFERROR(__xludf.DUMMYFUNCTION("""COMPUTED_VALUE"""),"コミュニケーション・セルフケアー講座")</f>
        <v>コミュニケーション・セルフケアー講座</v>
      </c>
      <c r="C75" s="4" t="str">
        <f>IFERROR(__xludf.DUMMYFUNCTION("""COMPUTED_VALUE"""),"https://kokoronodoor.net/service-title-1/")</f>
        <v>https://kokoronodoor.net/service-title-1/</v>
      </c>
      <c r="D75" s="3" t="str">
        <f>IFERROR(__xludf.DUMMYFUNCTION("""COMPUTED_VALUE"""),"△")</f>
        <v>△</v>
      </c>
      <c r="E75" s="3" t="str">
        <f>IFERROR(__xludf.DUMMYFUNCTION("""COMPUTED_VALUE"""),"講座中心／情報散在")</f>
        <v>講座中心／情報散在</v>
      </c>
    </row>
    <row r="76" ht="15.75" customHeight="1">
      <c r="A76" s="3" t="str">
        <f t="shared" si="1"/>
        <v>07072</v>
      </c>
      <c r="B76" s="3" t="str">
        <f>IFERROR(__xludf.DUMMYFUNCTION("""COMPUTED_VALUE"""),"占いミザリー（豊田）")</f>
        <v>占いミザリー（豊田）</v>
      </c>
      <c r="C76" s="4" t="str">
        <f>IFERROR(__xludf.DUMMYFUNCTION("""COMPUTED_VALUE"""),"https://mizary.com/toyota/")</f>
        <v>https://mizary.com/toyota/</v>
      </c>
      <c r="D76" s="3" t="str">
        <f>IFERROR(__xludf.DUMMYFUNCTION("""COMPUTED_VALUE"""),"△")</f>
        <v>△</v>
      </c>
      <c r="E76" s="3" t="str">
        <f>IFERROR(__xludf.DUMMYFUNCTION("""COMPUTED_VALUE"""),"占い／情報散在")</f>
        <v>占い／情報散在</v>
      </c>
    </row>
    <row r="77" ht="15.75" customHeight="1">
      <c r="A77" s="3" t="str">
        <f t="shared" si="1"/>
        <v>07073</v>
      </c>
      <c r="B77" s="3" t="str">
        <f>IFERROR(__xludf.DUMMYFUNCTION("""COMPUTED_VALUE"""),"ETERNAL COMFORT")</f>
        <v>ETERNAL COMFORT</v>
      </c>
      <c r="C77" s="4" t="str">
        <f>IFERROR(__xludf.DUMMYFUNCTION("""COMPUTED_VALUE"""),"http://www.ishihara-clinic.jp/eternal/")</f>
        <v>http://www.ishihara-clinic.jp/eternal/</v>
      </c>
      <c r="D77" s="3" t="str">
        <f>IFERROR(__xludf.DUMMYFUNCTION("""COMPUTED_VALUE"""),"△")</f>
        <v>△</v>
      </c>
      <c r="E77" s="3" t="str">
        <f>IFERROR(__xludf.DUMMYFUNCTION("""COMPUTED_VALUE"""),"医療併設／情報散在")</f>
        <v>医療併設／情報散在</v>
      </c>
    </row>
    <row r="78" ht="15.75" customHeight="1">
      <c r="A78" s="3" t="str">
        <f t="shared" si="1"/>
        <v>07074</v>
      </c>
      <c r="B78" s="3" t="str">
        <f>IFERROR(__xludf.DUMMYFUNCTION("""COMPUTED_VALUE"""),"心ほっこりカフェ")</f>
        <v>心ほっこりカフェ</v>
      </c>
      <c r="C78" s="4" t="str">
        <f>IFERROR(__xludf.DUMMYFUNCTION("""COMPUTED_VALUE"""),"https://hokkoricafe.com/")</f>
        <v>https://hokkoricafe.com/</v>
      </c>
      <c r="D78" s="3" t="str">
        <f>IFERROR(__xludf.DUMMYFUNCTION("""COMPUTED_VALUE"""),"△")</f>
        <v>△</v>
      </c>
      <c r="E78" s="3" t="str">
        <f>IFERROR(__xludf.DUMMYFUNCTION("""COMPUTED_VALUE"""),"傾聴中心／構成弱い")</f>
        <v>傾聴中心／構成弱い</v>
      </c>
    </row>
    <row r="79" ht="15.75" customHeight="1">
      <c r="A79" s="3" t="str">
        <f t="shared" si="1"/>
        <v>07075</v>
      </c>
      <c r="B79" s="3" t="str">
        <f>IFERROR(__xludf.DUMMYFUNCTION("""COMPUTED_VALUE"""),"天使のコンシェルジュ")</f>
        <v>天使のコンシェルジュ</v>
      </c>
      <c r="C79" s="4" t="str">
        <f>IFERROR(__xludf.DUMMYFUNCTION("""COMPUTED_VALUE"""),"https://tenshinooka.jimdofree.com/")</f>
        <v>https://tenshinooka.jimdofree.com/</v>
      </c>
      <c r="D79" s="3" t="str">
        <f>IFERROR(__xludf.DUMMYFUNCTION("""COMPUTED_VALUE"""),"△")</f>
        <v>△</v>
      </c>
      <c r="E79" s="3" t="str">
        <f>IFERROR(__xludf.DUMMYFUNCTION("""COMPUTED_VALUE"""),"Jimdo無料／情報散在")</f>
        <v>Jimdo無料／情報散在</v>
      </c>
    </row>
    <row r="80" ht="15.75" customHeight="1">
      <c r="A80" s="3" t="str">
        <f t="shared" si="1"/>
        <v>07076</v>
      </c>
      <c r="B80" s="3" t="str">
        <f>IFERROR(__xludf.DUMMYFUNCTION("""COMPUTED_VALUE"""),"愛ハピネス")</f>
        <v>愛ハピネス</v>
      </c>
      <c r="C80" s="4" t="str">
        <f>IFERROR(__xludf.DUMMYFUNCTION("""COMPUTED_VALUE"""),"https://aihappiness.jp/")</f>
        <v>https://aihappiness.jp/</v>
      </c>
      <c r="D80" s="3" t="str">
        <f>IFERROR(__xludf.DUMMYFUNCTION("""COMPUTED_VALUE"""),"△")</f>
        <v>△</v>
      </c>
      <c r="E80" s="3" t="str">
        <f>IFERROR(__xludf.DUMMYFUNCTION("""COMPUTED_VALUE"""),"スピリチュアル鑑定／構成弱い")</f>
        <v>スピリチュアル鑑定／構成弱い</v>
      </c>
    </row>
    <row r="81" ht="15.75" customHeight="1">
      <c r="A81" s="3" t="str">
        <f t="shared" si="1"/>
        <v>07077</v>
      </c>
      <c r="B81" s="3" t="str">
        <f>IFERROR(__xludf.DUMMYFUNCTION("""COMPUTED_VALUE"""),"一宮むすび心療内科")</f>
        <v>一宮むすび心療内科</v>
      </c>
      <c r="C81" s="4" t="str">
        <f>IFERROR(__xludf.DUMMYFUNCTION("""COMPUTED_VALUE"""),"https://www.i-musubi.com/information.html")</f>
        <v>https://www.i-musubi.com/information.html</v>
      </c>
      <c r="D81" s="3" t="str">
        <f>IFERROR(__xludf.DUMMYFUNCTION("""COMPUTED_VALUE"""),"△")</f>
        <v>△</v>
      </c>
      <c r="E81" s="3" t="str">
        <f>IFERROR(__xludf.DUMMYFUNCTION("""COMPUTED_VALUE"""),"医療系／情報散在")</f>
        <v>医療系／情報散在</v>
      </c>
    </row>
    <row r="82" ht="15.75" customHeight="1">
      <c r="A82" s="3" t="str">
        <f t="shared" si="1"/>
        <v>07078</v>
      </c>
      <c r="B82" s="3" t="str">
        <f>IFERROR(__xludf.DUMMYFUNCTION("""COMPUTED_VALUE"""),"NPO法人次世代育成支援機構")</f>
        <v>NPO法人次世代育成支援機構</v>
      </c>
      <c r="C82" s="4" t="str">
        <f>IFERROR(__xludf.DUMMYFUNCTION("""COMPUTED_VALUE"""),"https://npo-jisedai.org/service.html")</f>
        <v>https://npo-jisedai.org/service.html</v>
      </c>
      <c r="D82" s="3" t="str">
        <f>IFERROR(__xludf.DUMMYFUNCTION("""COMPUTED_VALUE"""),"△")</f>
        <v>△</v>
      </c>
      <c r="E82" s="3" t="str">
        <f>IFERROR(__xludf.DUMMYFUNCTION("""COMPUTED_VALUE"""),"支援系／構成弱い")</f>
        <v>支援系／構成弱い</v>
      </c>
    </row>
    <row r="83" ht="15.75" customHeight="1">
      <c r="A83" s="3" t="str">
        <f t="shared" si="1"/>
        <v>07079</v>
      </c>
      <c r="B83" s="3" t="str">
        <f>IFERROR(__xludf.DUMMYFUNCTION("""COMPUTED_VALUE"""),"アロハウス")</f>
        <v>アロハウス</v>
      </c>
      <c r="C83" s="4" t="str">
        <f>IFERROR(__xludf.DUMMYFUNCTION("""COMPUTED_VALUE"""),"https://beauty.hotpepper.jp/kr/slnH000714722/")</f>
        <v>https://beauty.hotpepper.jp/kr/slnH000714722/</v>
      </c>
      <c r="D83" s="3" t="str">
        <f>IFERROR(__xludf.DUMMYFUNCTION("""COMPUTED_VALUE"""),"△")</f>
        <v>△</v>
      </c>
      <c r="E83" s="3" t="str">
        <f>IFERROR(__xludf.DUMMYFUNCTION("""COMPUTED_VALUE"""),"ホットペッパーのみ")</f>
        <v>ホットペッパーのみ</v>
      </c>
    </row>
    <row r="84" ht="15.75" customHeight="1">
      <c r="A84" s="3" t="str">
        <f t="shared" si="1"/>
        <v>07080</v>
      </c>
      <c r="B84" s="3" t="str">
        <f>IFERROR(__xludf.DUMMYFUNCTION("""COMPUTED_VALUE"""),"心癒空間138")</f>
        <v>心癒空間138</v>
      </c>
      <c r="C84" s="4" t="str">
        <f>IFERROR(__xludf.DUMMYFUNCTION("""COMPUTED_VALUE"""),"https://www.facebook.com/hearthealingspace/")</f>
        <v>https://www.facebook.com/hearthealingspace/</v>
      </c>
      <c r="D84" s="3" t="str">
        <f>IFERROR(__xludf.DUMMYFUNCTION("""COMPUTED_VALUE"""),"△")</f>
        <v>△</v>
      </c>
      <c r="E84" s="3" t="str">
        <f>IFERROR(__xludf.DUMMYFUNCTION("""COMPUTED_VALUE"""),"Facebook中心")</f>
        <v>Facebook中心</v>
      </c>
    </row>
    <row r="85" ht="15.75" customHeight="1">
      <c r="A85" s="3" t="str">
        <f t="shared" si="1"/>
        <v>07081</v>
      </c>
      <c r="B85" s="3" t="str">
        <f>IFERROR(__xludf.DUMMYFUNCTION("""COMPUTED_VALUE"""),"占いミザリー（一宮）")</f>
        <v>占いミザリー（一宮）</v>
      </c>
      <c r="C85" s="4" t="str">
        <f>IFERROR(__xludf.DUMMYFUNCTION("""COMPUTED_VALUE"""),"https://mizary.com/ichinomiya/")</f>
        <v>https://mizary.com/ichinomiya/</v>
      </c>
      <c r="D85" s="3" t="str">
        <f>IFERROR(__xludf.DUMMYFUNCTION("""COMPUTED_VALUE"""),"△")</f>
        <v>△</v>
      </c>
      <c r="E85" s="3" t="str">
        <f>IFERROR(__xludf.DUMMYFUNCTION("""COMPUTED_VALUE"""),"占い／情報散在")</f>
        <v>占い／情報散在</v>
      </c>
    </row>
    <row r="86" ht="15.75" customHeight="1">
      <c r="A86" s="3" t="str">
        <f t="shared" si="1"/>
        <v>07082</v>
      </c>
      <c r="B86" s="3" t="str">
        <f>IFERROR(__xludf.DUMMYFUNCTION("""COMPUTED_VALUE"""),"柴田 桃子（心理カウンセリング）")</f>
        <v>柴田 桃子（心理カウンセリング）</v>
      </c>
      <c r="C86" s="4" t="str">
        <f>IFERROR(__xludf.DUMMYFUNCTION("""COMPUTED_VALUE"""),"https://yukari.counseling1.jp/access/ichinomiya/")</f>
        <v>https://yukari.counseling1.jp/access/ichinomiya/</v>
      </c>
      <c r="D86" s="3" t="str">
        <f>IFERROR(__xludf.DUMMYFUNCTION("""COMPUTED_VALUE"""),"△")</f>
        <v>△</v>
      </c>
      <c r="E86" s="3" t="str">
        <f>IFERROR(__xludf.DUMMYFUNCTION("""COMPUTED_VALUE"""),"女性向け／情報散在")</f>
        <v>女性向け／情報散在</v>
      </c>
    </row>
    <row r="87" ht="15.75" customHeight="1">
      <c r="A87" s="3" t="str">
        <f t="shared" si="1"/>
        <v>07083</v>
      </c>
      <c r="B87" s="3" t="str">
        <f>IFERROR(__xludf.DUMMYFUNCTION("""COMPUTED_VALUE"""),"心理カウンセリング&amp;リンパセラピールームeau（エミュウ）")</f>
        <v>心理カウンセリング&amp;リンパセラピールームeau（エミュウ）</v>
      </c>
      <c r="C87" s="4" t="str">
        <f>IFERROR(__xludf.DUMMYFUNCTION("""COMPUTED_VALUE"""),"https://eau1.jimdofree.com/")</f>
        <v>https://eau1.jimdofree.com/</v>
      </c>
      <c r="D87" s="3" t="str">
        <f>IFERROR(__xludf.DUMMYFUNCTION("""COMPUTED_VALUE"""),"△")</f>
        <v>△</v>
      </c>
      <c r="E87" s="3" t="str">
        <f>IFERROR(__xludf.DUMMYFUNCTION("""COMPUTED_VALUE"""),"Jimdo無料／自宅サロン／完全予約制")</f>
        <v>Jimdo無料／自宅サロン／完全予約制</v>
      </c>
    </row>
    <row r="88" ht="15.75" customHeight="1">
      <c r="A88" s="3" t="str">
        <f t="shared" si="1"/>
        <v>07084</v>
      </c>
      <c r="B88" s="3" t="str">
        <f>IFERROR(__xludf.DUMMYFUNCTION("""COMPUTED_VALUE"""),"まほうのつえ")</f>
        <v>まほうのつえ</v>
      </c>
      <c r="C88" s="4" t="str">
        <f>IFERROR(__xludf.DUMMYFUNCTION("""COMPUTED_VALUE"""),"https://mahou-no-tsue.com/")</f>
        <v>https://mahou-no-tsue.com/</v>
      </c>
      <c r="D88" s="3" t="str">
        <f>IFERROR(__xludf.DUMMYFUNCTION("""COMPUTED_VALUE"""),"△")</f>
        <v>△</v>
      </c>
      <c r="E88" s="3" t="str">
        <f>IFERROR(__xludf.DUMMYFUNCTION("""COMPUTED_VALUE"""),"ハンドセラピー／カードセラピー／情報散在")</f>
        <v>ハンドセラピー／カードセラピー／情報散在</v>
      </c>
    </row>
    <row r="89" ht="15.75" customHeight="1">
      <c r="A89" s="3" t="str">
        <f t="shared" si="1"/>
        <v>07085</v>
      </c>
      <c r="B89" s="3" t="str">
        <f>IFERROR(__xludf.DUMMYFUNCTION("""COMPUTED_VALUE"""),"Serenity Meadow")</f>
        <v>Serenity Meadow</v>
      </c>
      <c r="C89" s="4" t="str">
        <f>IFERROR(__xludf.DUMMYFUNCTION("""COMPUTED_VALUE"""),"https://serenitymeadow.net/")</f>
        <v>https://serenitymeadow.net/</v>
      </c>
      <c r="D89" s="3" t="str">
        <f>IFERROR(__xludf.DUMMYFUNCTION("""COMPUTED_VALUE"""),"△")</f>
        <v>△</v>
      </c>
      <c r="E89" s="3" t="str">
        <f>IFERROR(__xludf.DUMMYFUNCTION("""COMPUTED_VALUE"""),"傾聴・セラピー系／情報散在")</f>
        <v>傾聴・セラピー系／情報散在</v>
      </c>
    </row>
    <row r="90" ht="15.75" customHeight="1">
      <c r="A90" s="3" t="str">
        <f t="shared" si="1"/>
        <v>07086</v>
      </c>
      <c r="B90" s="3" t="str">
        <f>IFERROR(__xludf.DUMMYFUNCTION("""COMPUTED_VALUE"""),"カモミール（エンジェルカード・タロット）")</f>
        <v>カモミール（エンジェルカード・タロット）</v>
      </c>
      <c r="C90" s="4" t="str">
        <f>IFERROR(__xludf.DUMMYFUNCTION("""COMPUTED_VALUE"""),"http://chamomile6.jp/")</f>
        <v>http://chamomile6.jp/</v>
      </c>
      <c r="D90" s="3" t="str">
        <f>IFERROR(__xludf.DUMMYFUNCTION("""COMPUTED_VALUE"""),"△")</f>
        <v>△</v>
      </c>
      <c r="E90" s="3" t="str">
        <f>IFERROR(__xludf.DUMMYFUNCTION("""COMPUTED_VALUE"""),"タロット／メンタルケア心理士／情報散在")</f>
        <v>タロット／メンタルケア心理士／情報散在</v>
      </c>
    </row>
    <row r="91" ht="15.75" customHeight="1">
      <c r="A91" s="3" t="str">
        <f t="shared" si="1"/>
        <v>07087</v>
      </c>
      <c r="B91" s="3" t="str">
        <f>IFERROR(__xludf.DUMMYFUNCTION("""COMPUTED_VALUE"""),"占いミザリー（豊橋）")</f>
        <v>占いミザリー（豊橋）</v>
      </c>
      <c r="C91" s="4" t="str">
        <f>IFERROR(__xludf.DUMMYFUNCTION("""COMPUTED_VALUE"""),"https://mizary.com/toyohashi/")</f>
        <v>https://mizary.com/toyohashi/</v>
      </c>
      <c r="D91" s="3" t="str">
        <f>IFERROR(__xludf.DUMMYFUNCTION("""COMPUTED_VALUE"""),"△")</f>
        <v>△</v>
      </c>
      <c r="E91" s="3" t="str">
        <f>IFERROR(__xludf.DUMMYFUNCTION("""COMPUTED_VALUE"""),"占い／情報散在")</f>
        <v>占い／情報散在</v>
      </c>
    </row>
    <row r="92" ht="15.75" customHeight="1">
      <c r="A92" s="3" t="str">
        <f t="shared" si="1"/>
        <v>07088</v>
      </c>
      <c r="B92" s="3" t="str">
        <f>IFERROR(__xludf.DUMMYFUNCTION("""COMPUTED_VALUE"""),"ミラ(mira)")</f>
        <v>ミラ(mira)</v>
      </c>
      <c r="C92" s="4" t="str">
        <f>IFERROR(__xludf.DUMMYFUNCTION("""COMPUTED_VALUE"""),"https://beauty.hotpepper.jp/kr/slnH000502267/")</f>
        <v>https://beauty.hotpepper.jp/kr/slnH000502267/</v>
      </c>
      <c r="D92" s="3" t="str">
        <f>IFERROR(__xludf.DUMMYFUNCTION("""COMPUTED_VALUE"""),"△")</f>
        <v>△</v>
      </c>
      <c r="E92" s="3" t="str">
        <f>IFERROR(__xludf.DUMMYFUNCTION("""COMPUTED_VALUE"""),"ホットペッパーのみ／完全予約制")</f>
        <v>ホットペッパーのみ／完全予約制</v>
      </c>
    </row>
    <row r="93" ht="15.75" customHeight="1">
      <c r="A93" s="3" t="str">
        <f t="shared" si="1"/>
        <v>07089</v>
      </c>
      <c r="B93" s="3" t="str">
        <f>IFERROR(__xludf.DUMMYFUNCTION("""COMPUTED_VALUE"""),"アロマ リラクゼーション KOU")</f>
        <v>アロマ リラクゼーション KOU</v>
      </c>
      <c r="C93" s="4" t="str">
        <f>IFERROR(__xludf.DUMMYFUNCTION("""COMPUTED_VALUE"""),"https://www.relax-kou.com/")</f>
        <v>https://www.relax-kou.com/</v>
      </c>
      <c r="D93" s="3" t="str">
        <f>IFERROR(__xludf.DUMMYFUNCTION("""COMPUTED_VALUE"""),"△")</f>
        <v>△</v>
      </c>
      <c r="E93" s="3" t="str">
        <f>IFERROR(__xludf.DUMMYFUNCTION("""COMPUTED_VALUE"""),"女性専用／完全予約制／情報散在")</f>
        <v>女性専用／完全予約制／情報散在</v>
      </c>
    </row>
    <row r="94" ht="15.75" customHeight="1">
      <c r="A94" s="3" t="str">
        <f t="shared" si="1"/>
        <v>07090</v>
      </c>
      <c r="B94" s="3" t="str">
        <f>IFERROR(__xludf.DUMMYFUNCTION("""COMPUTED_VALUE"""),"Hair make tuju")</f>
        <v>Hair make tuju</v>
      </c>
      <c r="C94" s="4" t="str">
        <f>IFERROR(__xludf.DUMMYFUNCTION("""COMPUTED_VALUE"""),"https://otowa.or.jp/kaiin/tuju")</f>
        <v>https://otowa.or.jp/kaiin/tuju</v>
      </c>
      <c r="D94" s="3" t="str">
        <f>IFERROR(__xludf.DUMMYFUNCTION("""COMPUTED_VALUE"""),"△")</f>
        <v>△</v>
      </c>
      <c r="E94" s="3" t="str">
        <f>IFERROR(__xludf.DUMMYFUNCTION("""COMPUTED_VALUE"""),"会員/紹介系ページ内／情報散在")</f>
        <v>会員/紹介系ページ内／情報散在</v>
      </c>
    </row>
    <row r="95" ht="15.75" customHeight="1">
      <c r="A95" s="3" t="str">
        <f t="shared" si="1"/>
        <v>07091</v>
      </c>
      <c r="B95" s="3" t="str">
        <f>IFERROR(__xludf.DUMMYFUNCTION("""COMPUTED_VALUE"""),"瀬戸市カウンセリング｜青空カウンセリングルーム")</f>
        <v>瀬戸市カウンセリング｜青空カウンセリングルーム</v>
      </c>
      <c r="C95" s="4" t="str">
        <f>IFERROR(__xludf.DUMMYFUNCTION("""COMPUTED_VALUE"""),"https://ltc-councelling-room.jimdoweb.com/")</f>
        <v>https://ltc-councelling-room.jimdoweb.com/</v>
      </c>
      <c r="D95" s="3" t="str">
        <f>IFERROR(__xludf.DUMMYFUNCTION("""COMPUTED_VALUE"""),"△")</f>
        <v>△</v>
      </c>
      <c r="E95" s="3" t="str">
        <f>IFERROR(__xludf.DUMMYFUNCTION("""COMPUTED_VALUE"""),"Jimdo無料テンプレ／前世療法・AC・夫婦カウンセリング等")</f>
        <v>Jimdo無料テンプレ／前世療法・AC・夫婦カウンセリング等</v>
      </c>
    </row>
    <row r="96" ht="15.75" customHeight="1">
      <c r="A96" s="3" t="str">
        <f t="shared" si="1"/>
        <v>07092</v>
      </c>
      <c r="B96" s="3" t="str">
        <f>IFERROR(__xludf.DUMMYFUNCTION("""COMPUTED_VALUE"""),"知多市のカフェカウンセリング")</f>
        <v>知多市のカフェカウンセリング</v>
      </c>
      <c r="C96" s="4" t="str">
        <f>IFERROR(__xludf.DUMMYFUNCTION("""COMPUTED_VALUE"""),"counseling1.co.jp/aichi/chita/")</f>
        <v>counseling1.co.jp/aichi/chita/</v>
      </c>
      <c r="D96" s="3" t="str">
        <f>IFERROR(__xludf.DUMMYFUNCTION("""COMPUTED_VALUE"""),"△")</f>
        <v>△</v>
      </c>
      <c r="E96" s="3" t="str">
        <f>IFERROR(__xludf.DUMMYFUNCTION("""COMPUTED_VALUE"""),"カフェ・訪問カウンセリング／情報散在（電話は同系統）")</f>
        <v>カフェ・訪問カウンセリング／情報散在（電話は同系統）</v>
      </c>
    </row>
    <row r="97" ht="15.75" customHeight="1">
      <c r="A97" s="3" t="str">
        <f t="shared" si="1"/>
        <v>07093</v>
      </c>
      <c r="B97" s="3" t="str">
        <f>IFERROR(__xludf.DUMMYFUNCTION("""COMPUTED_VALUE"""),"リュミエール(umiere)")</f>
        <v>リュミエール(umiere)</v>
      </c>
      <c r="C97" s="4" t="str">
        <f>IFERROR(__xludf.DUMMYFUNCTION("""COMPUTED_VALUE"""),"https://beauty.hotpepper.jp/kr/slnH000442765/")</f>
        <v>https://beauty.hotpepper.jp/kr/slnH000442765/</v>
      </c>
      <c r="D97" s="3" t="str">
        <f>IFERROR(__xludf.DUMMYFUNCTION("""COMPUTED_VALUE"""),"△")</f>
        <v>△</v>
      </c>
      <c r="E97" s="3" t="str">
        <f>IFERROR(__xludf.DUMMYFUNCTION("""COMPUTED_VALUE"""),"ホットペッパーのみ／筋膜リリース・骨格調整等")</f>
        <v>ホットペッパーのみ／筋膜リリース・骨格調整等</v>
      </c>
    </row>
    <row r="98" ht="15.75" customHeight="1">
      <c r="A98" s="3" t="str">
        <f t="shared" si="1"/>
        <v>07094</v>
      </c>
      <c r="B98" s="3" t="str">
        <f>IFERROR(__xludf.DUMMYFUNCTION("""COMPUTED_VALUE"""),"半田市のカウンセリング（くれたけ心理相談室エリア）")</f>
        <v>半田市のカウンセリング（くれたけ心理相談室エリア）</v>
      </c>
      <c r="C98" s="4" t="str">
        <f>IFERROR(__xludf.DUMMYFUNCTION("""COMPUTED_VALUE"""),"https://eri.counseling1.jp/hannda/")</f>
        <v>https://eri.counseling1.jp/hannda/</v>
      </c>
      <c r="D98" s="3" t="str">
        <f>IFERROR(__xludf.DUMMYFUNCTION("""COMPUTED_VALUE"""),"△")</f>
        <v>△</v>
      </c>
      <c r="E98" s="3" t="str">
        <f>IFERROR(__xludf.DUMMYFUNCTION("""COMPUTED_VALUE"""),"エリア別ページ／人間関係・恋愛・発達障害対応など／情報散在")</f>
        <v>エリア別ページ／人間関係・恋愛・発達障害対応など／情報散在</v>
      </c>
    </row>
    <row r="99" ht="15.75" customHeight="1">
      <c r="A99" s="3" t="str">
        <f t="shared" si="1"/>
        <v>07095</v>
      </c>
      <c r="B99" s="3" t="str">
        <f>IFERROR(__xludf.DUMMYFUNCTION("""COMPUTED_VALUE"""),"瀬戸市のカフェ・訪問カウンセリング")</f>
        <v>瀬戸市のカフェ・訪問カウンセリング</v>
      </c>
      <c r="C99" s="4" t="str">
        <f>IFERROR(__xludf.DUMMYFUNCTION("""COMPUTED_VALUE"""),"counseling1.co.jp/aichi/seto/")</f>
        <v>counseling1.co.jp/aichi/seto/</v>
      </c>
      <c r="D99" s="3" t="str">
        <f>IFERROR(__xludf.DUMMYFUNCTION("""COMPUTED_VALUE"""),"△")</f>
        <v>△</v>
      </c>
      <c r="E99" s="3" t="str">
        <f>IFERROR(__xludf.DUMMYFUNCTION("""COMPUTED_VALUE"""),"カフェ・訪問カウンセリング／情報散在")</f>
        <v>カフェ・訪問カウンセリング／情報散在</v>
      </c>
    </row>
    <row r="100" ht="15.75" customHeight="1">
      <c r="A100" s="3" t="str">
        <f t="shared" si="1"/>
        <v>07096</v>
      </c>
      <c r="B100" s="3" t="str">
        <f>IFERROR(__xludf.DUMMYFUNCTION("""COMPUTED_VALUE"""),"アカツキ ヘルス アンド ビューティー ラボ")</f>
        <v>アカツキ ヘルス アンド ビューティー ラボ</v>
      </c>
      <c r="C100" s="4" t="str">
        <f>IFERROR(__xludf.DUMMYFUNCTION("""COMPUTED_VALUE"""),"https://beauty.hotpepper.jp/kr/slnH000626436/")</f>
        <v>https://beauty.hotpepper.jp/kr/slnH000626436/</v>
      </c>
      <c r="D100" s="3" t="str">
        <f>IFERROR(__xludf.DUMMYFUNCTION("""COMPUTED_VALUE"""),"△")</f>
        <v>△</v>
      </c>
      <c r="E100" s="3" t="str">
        <f>IFERROR(__xludf.DUMMYFUNCTION("""COMPUTED_VALUE"""),"ホットペッパーのみ／10:00-21:00／木曜不定休")</f>
        <v>ホットペッパーのみ／10:00-21:00／木曜不定休</v>
      </c>
    </row>
    <row r="101" ht="15.75" customHeight="1">
      <c r="A101" s="3" t="str">
        <f t="shared" si="1"/>
        <v>07097</v>
      </c>
      <c r="B101" s="3" t="str">
        <f>IFERROR(__xludf.DUMMYFUNCTION("""COMPUTED_VALUE"""),"春日井市の心理カウンセリング")</f>
        <v>春日井市の心理カウンセリング</v>
      </c>
      <c r="C101" s="4" t="str">
        <f>IFERROR(__xludf.DUMMYFUNCTION("""COMPUTED_VALUE"""),"https://yukari.counseling1.jp/access/kasugai/")</f>
        <v>https://yukari.counseling1.jp/access/kasugai/</v>
      </c>
      <c r="D101" s="3" t="str">
        <f>IFERROR(__xludf.DUMMYFUNCTION("""COMPUTED_VALUE"""),"△")</f>
        <v>△</v>
      </c>
      <c r="E101" s="3" t="str">
        <f>IFERROR(__xludf.DUMMYFUNCTION("""COMPUTED_VALUE"""),"情報散在／レンタルスペース対応など")</f>
        <v>情報散在／レンタルスペース対応など</v>
      </c>
    </row>
    <row r="102" ht="15.75" customHeight="1">
      <c r="A102" s="3" t="str">
        <f t="shared" si="1"/>
        <v>07098</v>
      </c>
      <c r="B102" s="3" t="str">
        <f>IFERROR(__xludf.DUMMYFUNCTION("""COMPUTED_VALUE"""),"犬山心理相談室（春日井市対応）")</f>
        <v>犬山心理相談室（春日井市対応）</v>
      </c>
      <c r="C102" s="4" t="str">
        <f>IFERROR(__xludf.DUMMYFUNCTION("""COMPUTED_VALUE"""),"http://www.ctk.ne.jp/~kaze/newpage50.html")</f>
        <v>http://www.ctk.ne.jp/~kaze/newpage50.html</v>
      </c>
      <c r="D102" s="3" t="str">
        <f>IFERROR(__xludf.DUMMYFUNCTION("""COMPUTED_VALUE"""),"△")</f>
        <v>△</v>
      </c>
      <c r="E102" s="3" t="str">
        <f>IFERROR(__xludf.DUMMYFUNCTION("""COMPUTED_VALUE"""),"古めの個人サイト／対人関係専門／完全予約制")</f>
        <v>古めの個人サイト／対人関係専門／完全予約制</v>
      </c>
    </row>
    <row r="103" ht="15.75" customHeight="1">
      <c r="A103" s="3" t="str">
        <f t="shared" si="1"/>
        <v>07099</v>
      </c>
      <c r="B103" s="5" t="s">
        <v>11</v>
      </c>
    </row>
    <row r="104" ht="15.75" customHeight="1">
      <c r="A104" s="3" t="str">
        <f t="shared" si="1"/>
        <v>07100</v>
      </c>
      <c r="B104" s="3" t="str">
        <f>IFERROR(__xludf.DUMMYFUNCTION("QUERY('東北'!A:D, ""select * where C='△'"", 1)"),"名称")</f>
        <v>名称</v>
      </c>
      <c r="C104" s="3" t="str">
        <f>IFERROR(__xludf.DUMMYFUNCTION("""COMPUTED_VALUE"""),"URL")</f>
        <v>URL</v>
      </c>
      <c r="D104" s="3" t="str">
        <f>IFERROR(__xludf.DUMMYFUNCTION("""COMPUTED_VALUE"""),"判定")</f>
        <v>判定</v>
      </c>
      <c r="E104" s="3" t="str">
        <f>IFERROR(__xludf.DUMMYFUNCTION("""COMPUTED_VALUE"""),"特徴/メモ")</f>
        <v>特徴/メモ</v>
      </c>
    </row>
    <row r="105" ht="15.75" customHeight="1">
      <c r="A105" s="3" t="str">
        <f t="shared" si="1"/>
        <v>07101</v>
      </c>
      <c r="B105" s="3" t="str">
        <f>IFERROR(__xludf.DUMMYFUNCTION("""COMPUTED_VALUE"""),"盛岡心理カウンセリングセンター")</f>
        <v>盛岡心理カウンセリングセンター</v>
      </c>
      <c r="C105" s="4" t="str">
        <f>IFERROR(__xludf.DUMMYFUNCTION("""COMPUTED_VALUE"""),"https://moriokashinri.jp/")</f>
        <v>https://moriokashinri.jp/</v>
      </c>
      <c r="D105" s="3" t="str">
        <f>IFERROR(__xludf.DUMMYFUNCTION("""COMPUTED_VALUE"""),"△")</f>
        <v>△</v>
      </c>
      <c r="E105" s="3" t="str">
        <f>IFERROR(__xludf.DUMMYFUNCTION("""COMPUTED_VALUE"""),"個人・夫婦カウンセリング／オンライン対応／完全予約制／80分10,900円")</f>
        <v>個人・夫婦カウンセリング／オンライン対応／完全予約制／80分10,900円</v>
      </c>
    </row>
    <row r="106" ht="15.75" customHeight="1">
      <c r="A106" s="3" t="str">
        <f t="shared" si="1"/>
        <v>07102</v>
      </c>
      <c r="B106" s="3" t="str">
        <f>IFERROR(__xludf.DUMMYFUNCTION("""COMPUTED_VALUE"""),"盛岡ハートフルカウンセリングセラフィ")</f>
        <v>盛岡ハートフルカウンセリングセラフィ</v>
      </c>
      <c r="C106" s="4" t="str">
        <f>IFERROR(__xludf.DUMMYFUNCTION("""COMPUTED_VALUE"""),"https://www.seraphyroom.com/greeting")</f>
        <v>https://www.seraphyroom.com/greeting</v>
      </c>
      <c r="D106" s="3" t="str">
        <f>IFERROR(__xludf.DUMMYFUNCTION("""COMPUTED_VALUE"""),"△")</f>
        <v>△</v>
      </c>
      <c r="E106" s="3" t="str">
        <f>IFERROR(__xludf.DUMMYFUNCTION("""COMPUTED_VALUE"""),"個人経営心理カウンセリング／丁寧な対話／秘密厳守／完全予約制")</f>
        <v>個人経営心理カウンセリング／丁寧な対話／秘密厳守／完全予約制</v>
      </c>
    </row>
    <row r="107" ht="15.75" customHeight="1">
      <c r="A107" s="3" t="str">
        <f t="shared" si="1"/>
        <v>07103</v>
      </c>
      <c r="B107" s="3" t="str">
        <f>IFERROR(__xludf.DUMMYFUNCTION("""COMPUTED_VALUE"""),"心理臨床オフィスすがわら")</f>
        <v>心理臨床オフィスすがわら</v>
      </c>
      <c r="C107" s="4" t="str">
        <f>IFERROR(__xludf.DUMMYFUNCTION("""COMPUTED_VALUE"""),"https://itp.ne.jp/zenkoku/iwate/moriokashi/saien/iryo-kaigo/herusukea/shinri-denkiryohonado/shinrikaunseringu/034573804136141270")</f>
        <v>https://itp.ne.jp/zenkoku/iwate/moriokashi/saien/iryo-kaigo/herusukea/shinri-denkiryohonado/shinrikaunseringu/034573804136141270</v>
      </c>
      <c r="D107" s="3" t="str">
        <f>IFERROR(__xludf.DUMMYFUNCTION("""COMPUTED_VALUE"""),"△")</f>
        <v>△</v>
      </c>
      <c r="E107" s="3" t="str">
        <f>IFERROR(__xludf.DUMMYFUNCTION("""COMPUTED_VALUE"""),"臨床心理士対応／専門的トレーニング／完全予約制")</f>
        <v>臨床心理士対応／専門的トレーニング／完全予約制</v>
      </c>
    </row>
    <row r="108" ht="15.75" customHeight="1">
      <c r="A108" s="3" t="str">
        <f t="shared" si="1"/>
        <v>07104</v>
      </c>
      <c r="B108" s="3" t="str">
        <f>IFERROR(__xludf.DUMMYFUNCTION("""COMPUTED_VALUE"""),"ヒーリングサロンルル")</f>
        <v>ヒーリングサロンルル</v>
      </c>
      <c r="C108" s="4" t="str">
        <f>IFERROR(__xludf.DUMMYFUNCTION("""COMPUTED_VALUE"""),"https://lulusalon.jp/online")</f>
        <v>https://lulusalon.jp/online</v>
      </c>
      <c r="D108" s="3" t="str">
        <f>IFERROR(__xludf.DUMMYFUNCTION("""COMPUTED_VALUE"""),"△")</f>
        <v>△</v>
      </c>
      <c r="E108" s="3" t="str">
        <f>IFERROR(__xludf.DUMMYFUNCTION("""COMPUTED_VALUE"""),"セラピスト歴20年／ヒーリング・オイルマッサージ／オンライン対応／完全予約制")</f>
        <v>セラピスト歴20年／ヒーリング・オイルマッサージ／オンライン対応／完全予約制</v>
      </c>
    </row>
    <row r="109" ht="15.75" customHeight="1">
      <c r="A109" s="3" t="str">
        <f t="shared" si="1"/>
        <v>07105</v>
      </c>
      <c r="B109" s="3" t="str">
        <f>IFERROR(__xludf.DUMMYFUNCTION("""COMPUTED_VALUE"""),"Healing House I'O")</f>
        <v>Healing House I'O</v>
      </c>
      <c r="C109" s="4" t="str">
        <f>IFERROR(__xludf.DUMMYFUNCTION("""COMPUTED_VALUE"""),"https://www.pomit.jp/beauty/healing-house-io/")</f>
        <v>https://www.pomit.jp/beauty/healing-house-io/</v>
      </c>
      <c r="D109" s="3" t="str">
        <f>IFERROR(__xludf.DUMMYFUNCTION("""COMPUTED_VALUE"""),"△")</f>
        <v>△</v>
      </c>
      <c r="E109" s="3" t="str">
        <f>IFERROR(__xludf.DUMMYFUNCTION("""COMPUTED_VALUE"""),"心身の癒し／女性向け／ハワイ風空間／完全予約制")</f>
        <v>心身の癒し／女性向け／ハワイ風空間／完全予約制</v>
      </c>
    </row>
    <row r="110" ht="15.75" customHeight="1">
      <c r="A110" s="3" t="str">
        <f t="shared" si="1"/>
        <v>07106</v>
      </c>
      <c r="B110" s="3" t="str">
        <f>IFERROR(__xludf.DUMMYFUNCTION("""COMPUTED_VALUE"""),"ふわり香るcozyな日常")</f>
        <v>ふわり香るcozyな日常</v>
      </c>
      <c r="C110" s="4" t="str">
        <f>IFERROR(__xludf.DUMMYFUNCTION("""COMPUTED_VALUE"""),"https://www.facebook.com/fuwarikaoru.ns/")</f>
        <v>https://www.facebook.com/fuwarikaoru.ns/</v>
      </c>
      <c r="D110" s="3" t="str">
        <f>IFERROR(__xludf.DUMMYFUNCTION("""COMPUTED_VALUE"""),"△")</f>
        <v>△</v>
      </c>
      <c r="E110" s="3" t="str">
        <f>IFERROR(__xludf.DUMMYFUNCTION("""COMPUTED_VALUE"""),"出張ヒーリングアロマサロン／月2回イベント開催／出張対応")</f>
        <v>出張ヒーリングアロマサロン／月2回イベント開催／出張対応</v>
      </c>
    </row>
    <row r="111" ht="15.75" customHeight="1">
      <c r="A111" s="3" t="str">
        <f t="shared" si="1"/>
        <v>07107</v>
      </c>
      <c r="B111" s="3" t="str">
        <f>IFERROR(__xludf.DUMMYFUNCTION("""COMPUTED_VALUE"""),"占いエンジェル 新追分店")</f>
        <v>占いエンジェル 新追分店</v>
      </c>
      <c r="C111" s="4" t="str">
        <f>IFERROR(__xludf.DUMMYFUNCTION("""COMPUTED_VALUE"""),"https://rensa.jp.net/akita")</f>
        <v>https://rensa.jp.net/akita</v>
      </c>
      <c r="D111" s="3" t="str">
        <f>IFERROR(__xludf.DUMMYFUNCTION("""COMPUTED_VALUE"""),"△")</f>
        <v>△</v>
      </c>
      <c r="E111" s="3" t="str">
        <f>IFERROR(__xludf.DUMMYFUNCTION("""COMPUTED_VALUE"""),"タロット・手相・姓名判断・霊視／完全予約制")</f>
        <v>タロット・手相・姓名判断・霊視／完全予約制</v>
      </c>
    </row>
    <row r="112" ht="15.75" customHeight="1">
      <c r="A112" s="3" t="str">
        <f t="shared" si="1"/>
        <v>07108</v>
      </c>
      <c r="B112" s="3" t="str">
        <f>IFERROR(__xludf.DUMMYFUNCTION("""COMPUTED_VALUE"""),"7COLORS＊ 占星術と天然石")</f>
        <v>7COLORS＊ 占星術と天然石</v>
      </c>
      <c r="C112" s="4" t="str">
        <f>IFERROR(__xludf.DUMMYFUNCTION("""COMPUTED_VALUE"""),"https://www.iid.co.jp/contents-fortune/akita/")</f>
        <v>https://www.iid.co.jp/contents-fortune/akita/</v>
      </c>
      <c r="D112" s="3" t="str">
        <f>IFERROR(__xludf.DUMMYFUNCTION("""COMPUTED_VALUE"""),"△")</f>
        <v>△</v>
      </c>
      <c r="E112" s="3" t="str">
        <f>IFERROR(__xludf.DUMMYFUNCTION("""COMPUTED_VALUE"""),"西洋占星術・天然石／自己分析重視／完全予約制")</f>
        <v>西洋占星術・天然石／自己分析重視／完全予約制</v>
      </c>
    </row>
    <row r="113" ht="15.75" customHeight="1">
      <c r="A113" s="3" t="str">
        <f t="shared" si="1"/>
        <v>07109</v>
      </c>
      <c r="B113" s="3" t="str">
        <f>IFERROR(__xludf.DUMMYFUNCTION("""COMPUTED_VALUE"""),"占い館 プリンセスルーム")</f>
        <v>占い館 プリンセスルーム</v>
      </c>
      <c r="C113" s="4" t="str">
        <f>IFERROR(__xludf.DUMMYFUNCTION("""COMPUTED_VALUE"""),"https://www.mysta.co.jp/akita-fortuneteller/")</f>
        <v>https://www.mysta.co.jp/akita-fortuneteller/</v>
      </c>
      <c r="D113" s="3" t="str">
        <f>IFERROR(__xludf.DUMMYFUNCTION("""COMPUTED_VALUE"""),"△")</f>
        <v>△</v>
      </c>
      <c r="E113" s="3" t="str">
        <f>IFERROR(__xludf.DUMMYFUNCTION("""COMPUTED_VALUE"""),"占い館形式／複数占い師在籍／完全予約制")</f>
        <v>占い館形式／複数占い師在籍／完全予約制</v>
      </c>
    </row>
    <row r="114" ht="15.75" customHeight="1">
      <c r="A114" s="3" t="str">
        <f t="shared" si="1"/>
        <v>07110</v>
      </c>
      <c r="B114" s="3" t="str">
        <f>IFERROR(__xludf.DUMMYFUNCTION("""COMPUTED_VALUE"""),"秋田占いサロン")</f>
        <v>秋田占いサロン</v>
      </c>
      <c r="C114" s="4" t="str">
        <f>IFERROR(__xludf.DUMMYFUNCTION("""COMPUTED_VALUE"""),"https://se-ec.co.jp/uranai-surveyteam/area/akita")</f>
        <v>https://se-ec.co.jp/uranai-surveyteam/area/akita</v>
      </c>
      <c r="D114" s="3" t="str">
        <f>IFERROR(__xludf.DUMMYFUNCTION("""COMPUTED_VALUE"""),"△")</f>
        <v>△</v>
      </c>
      <c r="E114" s="3" t="str">
        <f>IFERROR(__xludf.DUMMYFUNCTION("""COMPUTED_VALUE"""),"複数占い師在籍／料金体系明確／完全予約制")</f>
        <v>複数占い師在籍／料金体系明確／完全予約制</v>
      </c>
    </row>
    <row r="115" ht="15.75" customHeight="1">
      <c r="A115" s="3" t="str">
        <f t="shared" si="1"/>
        <v>07111</v>
      </c>
      <c r="B115" s="3" t="str">
        <f>IFERROR(__xludf.DUMMYFUNCTION("""COMPUTED_VALUE"""),"山形県内カウンセリング・セラピー関連")</f>
        <v>山形県内カウンセリング・セラピー関連</v>
      </c>
      <c r="C115" s="3" t="str">
        <f>IFERROR(__xludf.DUMMYFUNCTION("""COMPUTED_VALUE"""),"未取得")</f>
        <v>未取得</v>
      </c>
      <c r="D115" s="3" t="str">
        <f>IFERROR(__xludf.DUMMYFUNCTION("""COMPUTED_VALUE"""),"△")</f>
        <v>△</v>
      </c>
      <c r="E115" s="3" t="str">
        <f>IFERROR(__xludf.DUMMYFUNCTION("""COMPUTED_VALUE"""),"Web構成充実施設あり／要個別探索")</f>
        <v>Web構成充実施設あり／要個別探索</v>
      </c>
    </row>
    <row r="116" ht="15.75" customHeight="1">
      <c r="A116" s="3" t="str">
        <f t="shared" si="1"/>
        <v>07112</v>
      </c>
      <c r="B116" s="3" t="str">
        <f>IFERROR(__xludf.DUMMYFUNCTION("""COMPUTED_VALUE"""),"木村藤子 幸せの条件")</f>
        <v>木村藤子 幸せの条件</v>
      </c>
      <c r="C116" s="4" t="str">
        <f>IFERROR(__xludf.DUMMYFUNCTION("""COMPUTED_VALUE"""),"https://kimura-fujiko.jp/")</f>
        <v>https://kimura-fujiko.jp/</v>
      </c>
      <c r="D116" s="3" t="str">
        <f>IFERROR(__xludf.DUMMYFUNCTION("""COMPUTED_VALUE"""),"△")</f>
        <v>△</v>
      </c>
      <c r="E116" s="3" t="str">
        <f>IFERROR(__xludf.DUMMYFUNCTION("""COMPUTED_VALUE"""),"霊視・透視／全国的知名度／青森の神様／完全予約制")</f>
        <v>霊視・透視／全国的知名度／青森の神様／完全予約制</v>
      </c>
    </row>
    <row r="117" ht="15.75" customHeight="1">
      <c r="A117" s="3" t="str">
        <f t="shared" si="1"/>
        <v>07113</v>
      </c>
      <c r="B117" s="3" t="str">
        <f>IFERROR(__xludf.DUMMYFUNCTION("""COMPUTED_VALUE"""),"アトリエなのまっこ")</f>
        <v>アトリエなのまっこ</v>
      </c>
      <c r="C117" s="4" t="str">
        <f>IFERROR(__xludf.DUMMYFUNCTION("""COMPUTED_VALUE"""),"https://www.weeeeks.jp/shop/ateliernanomakko/")</f>
        <v>https://www.weeeeks.jp/shop/ateliernanomakko/</v>
      </c>
      <c r="D117" s="3" t="str">
        <f>IFERROR(__xludf.DUMMYFUNCTION("""COMPUTED_VALUE"""),"△")</f>
        <v>△</v>
      </c>
      <c r="E117" s="3" t="str">
        <f>IFERROR(__xludf.DUMMYFUNCTION("""COMPUTED_VALUE"""),"霊視系占い／ハイヤーセルフ・守護霊メッセージ／完全予約制")</f>
        <v>霊視系占い／ハイヤーセルフ・守護霊メッセージ／完全予約制</v>
      </c>
    </row>
    <row r="118" ht="15.75" customHeight="1">
      <c r="A118" s="3" t="str">
        <f t="shared" si="1"/>
        <v>07114</v>
      </c>
      <c r="B118" s="3" t="str">
        <f>IFERROR(__xludf.DUMMYFUNCTION("""COMPUTED_VALUE"""),"ユング心理学クリニック")</f>
        <v>ユング心理学クリニック</v>
      </c>
      <c r="C118" s="4" t="str">
        <f>IFERROR(__xludf.DUMMYFUNCTION("""COMPUTED_VALUE"""),"https://itp.ne.jp/info/020166372000000899/")</f>
        <v>https://itp.ne.jp/info/020166372000000899/</v>
      </c>
      <c r="D118" s="3" t="str">
        <f>IFERROR(__xludf.DUMMYFUNCTION("""COMPUTED_VALUE"""),"△")</f>
        <v>△</v>
      </c>
      <c r="E118" s="3" t="str">
        <f>IFERROR(__xludf.DUMMYFUNCTION("""COMPUTED_VALUE"""),"ユング心理学／心療内科／人生・人間関係相談／完全予約制")</f>
        <v>ユング心理学／心療内科／人生・人間関係相談／完全予約制</v>
      </c>
    </row>
    <row r="119" ht="15.75" customHeight="1">
      <c r="A119" s="3" t="str">
        <f t="shared" si="1"/>
        <v>07115</v>
      </c>
      <c r="B119" s="3" t="str">
        <f>IFERROR(__xludf.DUMMYFUNCTION("""COMPUTED_VALUE"""),"弘前駅前メンタルクリニック")</f>
        <v>弘前駅前メンタルクリニック</v>
      </c>
      <c r="C119" s="4" t="str">
        <f>IFERROR(__xludf.DUMMYFUNCTION("""COMPUTED_VALUE"""),"https://www.hirosakiekimae-mentalclinic.com/")</f>
        <v>https://www.hirosakiekimae-mentalclinic.com/</v>
      </c>
      <c r="D119" s="3" t="str">
        <f>IFERROR(__xludf.DUMMYFUNCTION("""COMPUTED_VALUE"""),"△")</f>
        <v>△</v>
      </c>
      <c r="E119" s="3" t="str">
        <f>IFERROR(__xludf.DUMMYFUNCTION("""COMPUTED_VALUE"""),"気分障害・不安障害・睡眠障害対応／完全予約制")</f>
        <v>気分障害・不安障害・睡眠障害対応／完全予約制</v>
      </c>
    </row>
    <row r="120" ht="15.75" customHeight="1">
      <c r="A120" s="3" t="str">
        <f t="shared" si="1"/>
        <v>07116</v>
      </c>
      <c r="B120" s="3" t="str">
        <f>IFERROR(__xludf.DUMMYFUNCTION("""COMPUTED_VALUE"""),"あおもり若者サポートステーション こころの相談")</f>
        <v>あおもり若者サポートステーション こころの相談</v>
      </c>
      <c r="C120" s="4" t="str">
        <f>IFERROR(__xludf.DUMMYFUNCTION("""COMPUTED_VALUE"""),"https://aosapo.ims-hirosaki.com/program/consultation/")</f>
        <v>https://aosapo.ims-hirosaki.com/program/consultation/</v>
      </c>
      <c r="D120" s="3" t="str">
        <f>IFERROR(__xludf.DUMMYFUNCTION("""COMPUTED_VALUE"""),"△")</f>
        <v>△</v>
      </c>
      <c r="E120" s="3" t="str">
        <f>IFERROR(__xludf.DUMMYFUNCTION("""COMPUTED_VALUE"""),"臨床心理士対応／若者支援／完全予約制")</f>
        <v>臨床心理士対応／若者支援／完全予約制</v>
      </c>
    </row>
    <row r="121" ht="15.75" customHeight="1">
      <c r="A121" s="3" t="str">
        <f t="shared" si="1"/>
        <v>07117</v>
      </c>
      <c r="B121" s="3" t="str">
        <f>IFERROR(__xludf.DUMMYFUNCTION("""COMPUTED_VALUE"""),"CS60ヒーリングサロンRin")</f>
        <v>CS60ヒーリングサロンRin</v>
      </c>
      <c r="C121" s="4" t="str">
        <f>IFERROR(__xludf.DUMMYFUNCTION("""COMPUTED_VALUE"""),"https://cs60rin3690.com/")</f>
        <v>https://cs60rin3690.com/</v>
      </c>
      <c r="D121" s="3" t="str">
        <f>IFERROR(__xludf.DUMMYFUNCTION("""COMPUTED_VALUE"""),"△")</f>
        <v>△</v>
      </c>
      <c r="E121" s="3" t="str">
        <f>IFERROR(__xludf.DUMMYFUNCTION("""COMPUTED_VALUE"""),"CS60施術／月50人以上実績／心身ケア／完全予約制")</f>
        <v>CS60施術／月50人以上実績／心身ケア／完全予約制</v>
      </c>
    </row>
    <row r="122" ht="15.75" customHeight="1">
      <c r="A122" s="3" t="str">
        <f t="shared" si="1"/>
        <v>07118</v>
      </c>
      <c r="B122" s="3" t="str">
        <f>IFERROR(__xludf.DUMMYFUNCTION("""COMPUTED_VALUE"""),"citta チッタ")</f>
        <v>citta チッタ</v>
      </c>
      <c r="C122" s="4" t="str">
        <f>IFERROR(__xludf.DUMMYFUNCTION("""COMPUTED_VALUE"""),"https://salon-citta.com/")</f>
        <v>https://salon-citta.com/</v>
      </c>
      <c r="D122" s="3" t="str">
        <f>IFERROR(__xludf.DUMMYFUNCTION("""COMPUTED_VALUE"""),"△")</f>
        <v>△</v>
      </c>
      <c r="E122" s="3" t="str">
        <f>IFERROR(__xludf.DUMMYFUNCTION("""COMPUTED_VALUE"""),"アロマ・バリ式マッサージ・ヒーリング／完全予約制")</f>
        <v>アロマ・バリ式マッサージ・ヒーリング／完全予約制</v>
      </c>
    </row>
    <row r="123" ht="15.75" customHeight="1">
      <c r="A123" s="3" t="str">
        <f t="shared" si="1"/>
        <v>07119</v>
      </c>
      <c r="B123" s="3" t="str">
        <f>IFERROR(__xludf.DUMMYFUNCTION("""COMPUTED_VALUE"""),"脳内ヒーリング TM BRAIN HEALING（オーキッド）")</f>
        <v>脳内ヒーリング TM BRAIN HEALING（オーキッド）</v>
      </c>
      <c r="C123" s="4" t="str">
        <f>IFERROR(__xludf.DUMMYFUNCTION("""COMPUTED_VALUE"""),"https://www.orchid-salon.com/healing.html")</f>
        <v>https://www.orchid-salon.com/healing.html</v>
      </c>
      <c r="D123" s="3" t="str">
        <f>IFERROR(__xludf.DUMMYFUNCTION("""COMPUTED_VALUE"""),"△")</f>
        <v>△</v>
      </c>
      <c r="E123" s="3" t="str">
        <f>IFERROR(__xludf.DUMMYFUNCTION("""COMPUTED_VALUE"""),"脳内ヒーリング／ホリスティックセラピー／心身浄化")</f>
        <v>脳内ヒーリング／ホリスティックセラピー／心身浄化</v>
      </c>
    </row>
    <row r="124" ht="15.75" customHeight="1">
      <c r="A124" s="3" t="str">
        <f t="shared" si="1"/>
        <v>07120</v>
      </c>
      <c r="B124" s="3" t="str">
        <f>IFERROR(__xludf.DUMMYFUNCTION("""COMPUTED_VALUE"""),"ハワイアンロミロミ＆ホットストーン Ohana")</f>
        <v>ハワイアンロミロミ＆ホットストーン Ohana</v>
      </c>
      <c r="C124" s="4" t="str">
        <f>IFERROR(__xludf.DUMMYFUNCTION("""COMPUTED_VALUE"""),"http://lomilomi-ohana.com/")</f>
        <v>http://lomilomi-ohana.com/</v>
      </c>
      <c r="D124" s="3" t="str">
        <f>IFERROR(__xludf.DUMMYFUNCTION("""COMPUTED_VALUE"""),"△")</f>
        <v>△</v>
      </c>
      <c r="E124" s="3" t="str">
        <f>IFERROR(__xludf.DUMMYFUNCTION("""COMPUTED_VALUE"""),"ハワイアンロミロミ／ホットストーン／個別対応／完全予約制”")</f>
        <v>ハワイアンロミロミ／ホットストーン／個別対応／完全予約制”</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 r:id="rId40" ref="C44"/>
    <hyperlink r:id="rId41" ref="C45"/>
    <hyperlink r:id="rId42" ref="C46"/>
    <hyperlink r:id="rId43" ref="C47"/>
    <hyperlink r:id="rId44" ref="C48"/>
    <hyperlink r:id="rId45" ref="C49"/>
    <hyperlink r:id="rId46" ref="C50"/>
    <hyperlink r:id="rId47" ref="C51"/>
    <hyperlink r:id="rId48" ref="C52"/>
    <hyperlink r:id="rId49" ref="C53"/>
    <hyperlink r:id="rId50" ref="C54"/>
    <hyperlink r:id="rId51" ref="C55"/>
    <hyperlink r:id="rId52" ref="C56"/>
    <hyperlink r:id="rId53" ref="C57"/>
    <hyperlink r:id="rId54" ref="C58"/>
    <hyperlink r:id="rId55" ref="C59"/>
    <hyperlink r:id="rId56" ref="C62"/>
    <hyperlink r:id="rId57" ref="C63"/>
    <hyperlink r:id="rId58" ref="C64"/>
    <hyperlink r:id="rId59" ref="C65"/>
    <hyperlink r:id="rId60" ref="C66"/>
    <hyperlink r:id="rId61" ref="C67"/>
    <hyperlink r:id="rId62" ref="C68"/>
    <hyperlink r:id="rId63" ref="C69"/>
    <hyperlink r:id="rId64" ref="C70"/>
    <hyperlink r:id="rId65" ref="C71"/>
    <hyperlink r:id="rId66" ref="C72"/>
    <hyperlink r:id="rId67" ref="C73"/>
    <hyperlink r:id="rId68" ref="C74"/>
    <hyperlink r:id="rId69" ref="C75"/>
    <hyperlink r:id="rId70" ref="C76"/>
    <hyperlink r:id="rId71" ref="C77"/>
    <hyperlink r:id="rId72" ref="C78"/>
    <hyperlink r:id="rId73" ref="C79"/>
    <hyperlink r:id="rId74" ref="C80"/>
    <hyperlink r:id="rId75" ref="C81"/>
    <hyperlink r:id="rId76" ref="C82"/>
    <hyperlink r:id="rId77" ref="C83"/>
    <hyperlink r:id="rId78" ref="C84"/>
    <hyperlink r:id="rId79" ref="C85"/>
    <hyperlink r:id="rId80" ref="C86"/>
    <hyperlink r:id="rId81" ref="C87"/>
    <hyperlink r:id="rId82" ref="C88"/>
    <hyperlink r:id="rId83" ref="C89"/>
    <hyperlink r:id="rId84" ref="C90"/>
    <hyperlink r:id="rId85" ref="C91"/>
    <hyperlink r:id="rId86" ref="C92"/>
    <hyperlink r:id="rId87" ref="C93"/>
    <hyperlink r:id="rId88" ref="C94"/>
    <hyperlink r:id="rId89" ref="C95"/>
    <hyperlink r:id="rId90" ref="C96"/>
    <hyperlink r:id="rId91" ref="C97"/>
    <hyperlink r:id="rId92" ref="C98"/>
    <hyperlink r:id="rId93" ref="C99"/>
    <hyperlink r:id="rId94" ref="C100"/>
    <hyperlink r:id="rId95" ref="C101"/>
    <hyperlink r:id="rId96" ref="C102"/>
    <hyperlink r:id="rId97" ref="C105"/>
    <hyperlink r:id="rId98" ref="C106"/>
    <hyperlink r:id="rId99" ref="C107"/>
    <hyperlink r:id="rId100" ref="C108"/>
    <hyperlink r:id="rId101" ref="C109"/>
    <hyperlink r:id="rId102" ref="C110"/>
    <hyperlink r:id="rId103" ref="C111"/>
    <hyperlink r:id="rId104" ref="C112"/>
    <hyperlink r:id="rId105" ref="C113"/>
    <hyperlink r:id="rId106" ref="C114"/>
    <hyperlink r:id="rId107" ref="C116"/>
    <hyperlink r:id="rId108" ref="C117"/>
    <hyperlink r:id="rId109" ref="C118"/>
    <hyperlink r:id="rId110" ref="C119"/>
    <hyperlink r:id="rId111" ref="C120"/>
    <hyperlink r:id="rId112" ref="C121"/>
    <hyperlink r:id="rId113" ref="C122"/>
    <hyperlink r:id="rId114" ref="C123"/>
    <hyperlink r:id="rId115" ref="C124"/>
  </hyperlinks>
  <printOptions/>
  <pageMargins bottom="1.0" footer="0.0" header="0.0" left="0.75" right="0.75" top="1.0"/>
  <pageSetup orientation="landscape"/>
  <drawing r:id="rId1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12</v>
      </c>
      <c r="B1" s="6" t="s">
        <v>13</v>
      </c>
      <c r="C1" s="6" t="s">
        <v>14</v>
      </c>
      <c r="D1" s="6" t="s">
        <v>15</v>
      </c>
    </row>
    <row r="2">
      <c r="A2" s="3" t="s">
        <v>16</v>
      </c>
      <c r="B2" s="3" t="s">
        <v>17</v>
      </c>
      <c r="C2" s="3" t="s">
        <v>18</v>
      </c>
      <c r="D2" s="3" t="s">
        <v>19</v>
      </c>
    </row>
    <row r="3">
      <c r="A3" s="3" t="s">
        <v>20</v>
      </c>
      <c r="B3" s="3" t="s">
        <v>21</v>
      </c>
      <c r="C3" s="3" t="s">
        <v>18</v>
      </c>
      <c r="D3" s="3" t="s">
        <v>22</v>
      </c>
    </row>
    <row r="4">
      <c r="A4" s="3" t="s">
        <v>23</v>
      </c>
      <c r="B4" s="3" t="s">
        <v>24</v>
      </c>
      <c r="C4" s="3" t="s">
        <v>18</v>
      </c>
      <c r="D4" s="3" t="s">
        <v>22</v>
      </c>
    </row>
    <row r="5">
      <c r="A5" s="3" t="s">
        <v>25</v>
      </c>
      <c r="B5" s="3" t="s">
        <v>26</v>
      </c>
      <c r="C5" s="3" t="s">
        <v>27</v>
      </c>
      <c r="D5" s="3" t="s">
        <v>28</v>
      </c>
    </row>
    <row r="6">
      <c r="A6" s="3" t="s">
        <v>29</v>
      </c>
      <c r="B6" s="3" t="s">
        <v>30</v>
      </c>
      <c r="C6" s="3" t="s">
        <v>27</v>
      </c>
      <c r="D6" s="3" t="s">
        <v>28</v>
      </c>
    </row>
    <row r="7">
      <c r="A7" s="3" t="s">
        <v>31</v>
      </c>
      <c r="B7" s="3" t="s">
        <v>32</v>
      </c>
      <c r="C7" s="3" t="s">
        <v>27</v>
      </c>
      <c r="D7" s="3" t="s">
        <v>33</v>
      </c>
    </row>
    <row r="8">
      <c r="A8" s="3" t="s">
        <v>34</v>
      </c>
      <c r="B8" s="3" t="s">
        <v>35</v>
      </c>
      <c r="C8" s="3" t="s">
        <v>27</v>
      </c>
      <c r="D8" s="3" t="s">
        <v>28</v>
      </c>
    </row>
    <row r="9">
      <c r="A9" s="3" t="s">
        <v>36</v>
      </c>
      <c r="B9" s="3" t="s">
        <v>37</v>
      </c>
      <c r="C9" s="3" t="s">
        <v>27</v>
      </c>
      <c r="D9" s="3" t="s">
        <v>38</v>
      </c>
    </row>
    <row r="10">
      <c r="A10" s="3" t="s">
        <v>39</v>
      </c>
      <c r="B10" s="3" t="s">
        <v>40</v>
      </c>
      <c r="C10" s="3" t="s">
        <v>27</v>
      </c>
      <c r="D10" s="3" t="s">
        <v>41</v>
      </c>
    </row>
    <row r="11">
      <c r="A11" s="3" t="s">
        <v>42</v>
      </c>
      <c r="B11" s="3" t="s">
        <v>43</v>
      </c>
      <c r="C11" s="3" t="s">
        <v>27</v>
      </c>
      <c r="D11" s="3" t="s">
        <v>44</v>
      </c>
    </row>
    <row r="12">
      <c r="A12" s="3" t="s">
        <v>45</v>
      </c>
      <c r="B12" s="3" t="s">
        <v>46</v>
      </c>
      <c r="C12" s="3" t="s">
        <v>18</v>
      </c>
      <c r="D12" s="3" t="s">
        <v>22</v>
      </c>
    </row>
    <row r="13">
      <c r="A13" s="3" t="s">
        <v>47</v>
      </c>
      <c r="B13" s="3" t="s">
        <v>48</v>
      </c>
      <c r="C13" s="3" t="s">
        <v>27</v>
      </c>
      <c r="D13" s="3" t="s">
        <v>28</v>
      </c>
    </row>
    <row r="14">
      <c r="A14" s="3" t="s">
        <v>49</v>
      </c>
      <c r="B14" s="3" t="s">
        <v>50</v>
      </c>
      <c r="C14" s="3" t="s">
        <v>27</v>
      </c>
      <c r="D14" s="3" t="s">
        <v>28</v>
      </c>
    </row>
    <row r="15">
      <c r="A15" s="3" t="s">
        <v>51</v>
      </c>
      <c r="B15" s="3" t="s">
        <v>52</v>
      </c>
      <c r="C15" s="3" t="s">
        <v>27</v>
      </c>
      <c r="D15" s="3" t="s">
        <v>28</v>
      </c>
    </row>
    <row r="16">
      <c r="A16" s="3" t="s">
        <v>53</v>
      </c>
      <c r="B16" s="3" t="s">
        <v>54</v>
      </c>
      <c r="C16" s="3" t="s">
        <v>27</v>
      </c>
      <c r="D16" s="3" t="s">
        <v>28</v>
      </c>
    </row>
    <row r="17">
      <c r="A17" s="3" t="s">
        <v>55</v>
      </c>
      <c r="B17" s="3" t="s">
        <v>56</v>
      </c>
      <c r="C17" s="3" t="s">
        <v>27</v>
      </c>
      <c r="D17" s="3" t="s">
        <v>44</v>
      </c>
    </row>
    <row r="18">
      <c r="A18" s="3" t="s">
        <v>57</v>
      </c>
      <c r="B18" s="3" t="s">
        <v>58</v>
      </c>
      <c r="C18" s="3" t="s">
        <v>27</v>
      </c>
      <c r="D18" s="3" t="s">
        <v>59</v>
      </c>
    </row>
    <row r="19">
      <c r="A19" s="3" t="s">
        <v>60</v>
      </c>
      <c r="B19" s="3" t="s">
        <v>61</v>
      </c>
      <c r="C19" s="3" t="s">
        <v>27</v>
      </c>
      <c r="D19" s="3" t="s">
        <v>62</v>
      </c>
    </row>
    <row r="20">
      <c r="A20" s="3" t="s">
        <v>63</v>
      </c>
      <c r="B20" s="3" t="s">
        <v>64</v>
      </c>
      <c r="C20" s="3" t="s">
        <v>18</v>
      </c>
      <c r="D20" s="3" t="s">
        <v>65</v>
      </c>
    </row>
    <row r="21" ht="15.75" customHeight="1">
      <c r="A21" s="3" t="s">
        <v>66</v>
      </c>
      <c r="B21" s="3" t="s">
        <v>67</v>
      </c>
      <c r="C21" s="3" t="s">
        <v>27</v>
      </c>
      <c r="D21" s="3" t="s">
        <v>68</v>
      </c>
    </row>
    <row r="22" ht="15.75" customHeight="1">
      <c r="A22" s="3" t="s">
        <v>69</v>
      </c>
      <c r="B22" s="3" t="s">
        <v>70</v>
      </c>
      <c r="C22" s="3" t="s">
        <v>27</v>
      </c>
      <c r="D22" s="3" t="s">
        <v>28</v>
      </c>
    </row>
    <row r="23" ht="15.75" customHeight="1">
      <c r="A23" s="3" t="s">
        <v>71</v>
      </c>
      <c r="B23" s="3" t="s">
        <v>72</v>
      </c>
      <c r="C23" s="3" t="s">
        <v>27</v>
      </c>
      <c r="D23" s="3" t="s">
        <v>38</v>
      </c>
    </row>
    <row r="24" ht="15.75" customHeight="1">
      <c r="A24" s="3" t="s">
        <v>73</v>
      </c>
      <c r="B24" s="3" t="s">
        <v>74</v>
      </c>
      <c r="C24" s="3" t="s">
        <v>27</v>
      </c>
      <c r="D24" s="3" t="s">
        <v>75</v>
      </c>
    </row>
    <row r="25" ht="15.75" customHeight="1">
      <c r="A25" s="3" t="s">
        <v>76</v>
      </c>
      <c r="B25" s="3" t="s">
        <v>77</v>
      </c>
      <c r="C25" s="3" t="s">
        <v>27</v>
      </c>
      <c r="D25" s="3" t="s">
        <v>62</v>
      </c>
    </row>
    <row r="26" ht="15.75" customHeight="1">
      <c r="A26" s="3" t="s">
        <v>78</v>
      </c>
      <c r="B26" s="3" t="s">
        <v>79</v>
      </c>
      <c r="C26" s="3" t="s">
        <v>27</v>
      </c>
      <c r="D26" s="3" t="s">
        <v>28</v>
      </c>
    </row>
    <row r="27" ht="15.75" customHeight="1">
      <c r="A27" s="3" t="s">
        <v>80</v>
      </c>
      <c r="B27" s="3" t="s">
        <v>81</v>
      </c>
      <c r="C27" s="3" t="s">
        <v>27</v>
      </c>
      <c r="D27" s="3" t="s">
        <v>33</v>
      </c>
    </row>
    <row r="28" ht="15.75" customHeight="1">
      <c r="A28" s="3" t="s">
        <v>82</v>
      </c>
      <c r="B28" s="3" t="s">
        <v>83</v>
      </c>
      <c r="C28" s="3" t="s">
        <v>84</v>
      </c>
      <c r="D28" s="3" t="s">
        <v>85</v>
      </c>
    </row>
    <row r="29" ht="15.75" customHeight="1">
      <c r="A29" s="3" t="s">
        <v>86</v>
      </c>
      <c r="B29" s="3" t="s">
        <v>87</v>
      </c>
      <c r="C29" s="3" t="s">
        <v>84</v>
      </c>
      <c r="D29" s="3" t="s">
        <v>88</v>
      </c>
    </row>
    <row r="30" ht="15.75" customHeight="1">
      <c r="A30" s="3" t="s">
        <v>89</v>
      </c>
      <c r="B30" s="3" t="s">
        <v>90</v>
      </c>
      <c r="C30" s="3" t="s">
        <v>84</v>
      </c>
      <c r="D30" s="3" t="s">
        <v>91</v>
      </c>
    </row>
    <row r="31" ht="15.75" customHeight="1">
      <c r="A31" s="3" t="s">
        <v>92</v>
      </c>
      <c r="B31" s="3" t="s">
        <v>93</v>
      </c>
      <c r="C31" s="3" t="s">
        <v>84</v>
      </c>
      <c r="D31" s="3" t="s">
        <v>94</v>
      </c>
    </row>
    <row r="32" ht="15.75" customHeight="1">
      <c r="A32" s="3" t="s">
        <v>95</v>
      </c>
      <c r="B32" s="3" t="s">
        <v>96</v>
      </c>
      <c r="C32" s="3" t="s">
        <v>84</v>
      </c>
      <c r="D32" s="3" t="s">
        <v>97</v>
      </c>
    </row>
    <row r="33" ht="15.75" customHeight="1">
      <c r="A33" s="3" t="s">
        <v>98</v>
      </c>
      <c r="B33" s="3" t="s">
        <v>99</v>
      </c>
      <c r="C33" s="3" t="s">
        <v>27</v>
      </c>
      <c r="D33" s="3" t="s">
        <v>100</v>
      </c>
    </row>
    <row r="34" ht="15.75" customHeight="1">
      <c r="A34" s="3" t="s">
        <v>101</v>
      </c>
      <c r="B34" s="3" t="s">
        <v>102</v>
      </c>
      <c r="C34" s="3" t="s">
        <v>84</v>
      </c>
      <c r="D34" s="3" t="s">
        <v>103</v>
      </c>
    </row>
    <row r="35" ht="15.75" customHeight="1">
      <c r="A35" s="3" t="s">
        <v>104</v>
      </c>
      <c r="C35" s="3" t="s">
        <v>27</v>
      </c>
      <c r="D35" s="3" t="s">
        <v>105</v>
      </c>
    </row>
    <row r="36" ht="15.75" customHeight="1">
      <c r="A36" s="3" t="s">
        <v>106</v>
      </c>
      <c r="B36" s="3" t="s">
        <v>107</v>
      </c>
      <c r="C36" s="3" t="s">
        <v>84</v>
      </c>
      <c r="D36" s="3" t="s">
        <v>108</v>
      </c>
    </row>
    <row r="37" ht="15.75" customHeight="1">
      <c r="A37" s="3" t="s">
        <v>109</v>
      </c>
      <c r="B37" s="3" t="s">
        <v>110</v>
      </c>
      <c r="C37" s="3" t="s">
        <v>84</v>
      </c>
      <c r="D37" s="3" t="s">
        <v>111</v>
      </c>
    </row>
    <row r="38" ht="15.75" customHeight="1">
      <c r="A38" s="3" t="s">
        <v>112</v>
      </c>
      <c r="B38" s="3" t="s">
        <v>113</v>
      </c>
      <c r="C38" s="3" t="s">
        <v>84</v>
      </c>
      <c r="D38" s="3" t="s">
        <v>114</v>
      </c>
    </row>
    <row r="39" ht="15.75" customHeight="1">
      <c r="A39" s="3" t="s">
        <v>115</v>
      </c>
      <c r="B39" s="3" t="s">
        <v>116</v>
      </c>
      <c r="C39" s="3" t="s">
        <v>84</v>
      </c>
      <c r="D39" s="3" t="s">
        <v>117</v>
      </c>
    </row>
    <row r="40" ht="15.75" customHeight="1">
      <c r="A40" s="3" t="s">
        <v>118</v>
      </c>
      <c r="B40" s="3" t="s">
        <v>119</v>
      </c>
      <c r="C40" s="3" t="s">
        <v>27</v>
      </c>
      <c r="D40" s="3" t="s">
        <v>120</v>
      </c>
    </row>
    <row r="41" ht="15.75" customHeight="1">
      <c r="A41" s="3" t="s">
        <v>121</v>
      </c>
      <c r="B41" s="3" t="s">
        <v>122</v>
      </c>
      <c r="C41" s="3" t="s">
        <v>84</v>
      </c>
      <c r="D41" s="3" t="s">
        <v>123</v>
      </c>
    </row>
    <row r="42" ht="15.75" customHeight="1">
      <c r="A42" s="3" t="s">
        <v>124</v>
      </c>
      <c r="B42" s="3" t="s">
        <v>125</v>
      </c>
      <c r="C42" s="3" t="s">
        <v>84</v>
      </c>
      <c r="D42" s="3" t="s">
        <v>126</v>
      </c>
    </row>
    <row r="43" ht="15.75" customHeight="1">
      <c r="A43" s="3" t="s">
        <v>127</v>
      </c>
      <c r="B43" s="3" t="s">
        <v>128</v>
      </c>
      <c r="C43" s="3" t="s">
        <v>27</v>
      </c>
      <c r="D43" s="3" t="s">
        <v>129</v>
      </c>
    </row>
    <row r="44" ht="15.75" customHeight="1">
      <c r="A44" s="3" t="s">
        <v>130</v>
      </c>
      <c r="B44" s="3" t="s">
        <v>131</v>
      </c>
      <c r="C44" s="3" t="s">
        <v>84</v>
      </c>
      <c r="D44" s="3" t="s">
        <v>132</v>
      </c>
    </row>
    <row r="45" ht="15.75" customHeight="1">
      <c r="A45" s="3" t="s">
        <v>133</v>
      </c>
      <c r="B45" s="3" t="s">
        <v>134</v>
      </c>
      <c r="C45" s="3" t="s">
        <v>27</v>
      </c>
      <c r="D45" s="3" t="s">
        <v>135</v>
      </c>
    </row>
    <row r="46" ht="15.75" customHeight="1">
      <c r="A46" s="3" t="s">
        <v>136</v>
      </c>
      <c r="B46" s="3" t="s">
        <v>137</v>
      </c>
      <c r="C46" s="3" t="s">
        <v>84</v>
      </c>
      <c r="D46" s="3" t="s">
        <v>138</v>
      </c>
    </row>
    <row r="47" ht="15.75" customHeight="1">
      <c r="A47" s="3" t="s">
        <v>139</v>
      </c>
      <c r="B47" s="3" t="s">
        <v>140</v>
      </c>
      <c r="C47" s="3" t="s">
        <v>27</v>
      </c>
      <c r="D47" s="3" t="s">
        <v>141</v>
      </c>
    </row>
    <row r="48" ht="15.75" customHeight="1">
      <c r="A48" s="3" t="s">
        <v>142</v>
      </c>
      <c r="B48" s="3" t="s">
        <v>143</v>
      </c>
      <c r="C48" s="3" t="s">
        <v>84</v>
      </c>
      <c r="D48" s="3" t="s">
        <v>144</v>
      </c>
    </row>
    <row r="49" ht="15.75" customHeight="1">
      <c r="A49" s="3" t="s">
        <v>145</v>
      </c>
      <c r="B49" s="3" t="s">
        <v>146</v>
      </c>
      <c r="C49" s="3" t="s">
        <v>27</v>
      </c>
      <c r="D49" s="3" t="s">
        <v>147</v>
      </c>
    </row>
    <row r="50" ht="15.75" customHeight="1">
      <c r="A50" s="3" t="s">
        <v>148</v>
      </c>
      <c r="B50" s="3" t="s">
        <v>149</v>
      </c>
      <c r="C50" s="3" t="s">
        <v>27</v>
      </c>
      <c r="D50" s="3" t="s">
        <v>150</v>
      </c>
    </row>
    <row r="51" ht="15.75" customHeight="1">
      <c r="A51" s="3" t="s">
        <v>151</v>
      </c>
      <c r="B51" s="3" t="s">
        <v>152</v>
      </c>
      <c r="C51" s="3" t="s">
        <v>84</v>
      </c>
      <c r="D51" s="3" t="s">
        <v>153</v>
      </c>
    </row>
    <row r="52" ht="15.75" customHeight="1">
      <c r="A52" s="3" t="s">
        <v>154</v>
      </c>
      <c r="B52" s="3" t="s">
        <v>155</v>
      </c>
      <c r="C52" s="3" t="s">
        <v>84</v>
      </c>
      <c r="D52" s="3" t="s">
        <v>156</v>
      </c>
    </row>
    <row r="53" ht="15.75" customHeight="1">
      <c r="A53" s="3" t="s">
        <v>157</v>
      </c>
      <c r="B53" s="3" t="s">
        <v>158</v>
      </c>
      <c r="C53" s="3" t="s">
        <v>27</v>
      </c>
      <c r="D53" s="3" t="s">
        <v>159</v>
      </c>
    </row>
    <row r="54" ht="15.75" customHeight="1">
      <c r="A54" s="3" t="s">
        <v>160</v>
      </c>
      <c r="B54" s="3" t="s">
        <v>161</v>
      </c>
      <c r="C54" s="3" t="s">
        <v>84</v>
      </c>
      <c r="D54" s="3" t="s">
        <v>162</v>
      </c>
    </row>
    <row r="55" ht="15.75" customHeight="1">
      <c r="A55" s="3" t="s">
        <v>163</v>
      </c>
      <c r="B55" s="3" t="s">
        <v>164</v>
      </c>
      <c r="C55" s="3" t="s">
        <v>84</v>
      </c>
      <c r="D55" s="3" t="s">
        <v>165</v>
      </c>
    </row>
    <row r="56" ht="15.75" customHeight="1">
      <c r="A56" s="3" t="s">
        <v>166</v>
      </c>
      <c r="B56" s="3" t="s">
        <v>167</v>
      </c>
      <c r="C56" s="3" t="s">
        <v>84</v>
      </c>
      <c r="D56" s="3" t="s">
        <v>168</v>
      </c>
    </row>
    <row r="57" ht="15.75" customHeight="1">
      <c r="A57" s="3" t="s">
        <v>169</v>
      </c>
      <c r="B57" s="3" t="s">
        <v>170</v>
      </c>
      <c r="C57" s="3" t="s">
        <v>27</v>
      </c>
      <c r="D57" s="3" t="s">
        <v>171</v>
      </c>
    </row>
    <row r="58" ht="15.75" customHeight="1">
      <c r="A58" s="3" t="s">
        <v>172</v>
      </c>
      <c r="B58" s="3" t="s">
        <v>173</v>
      </c>
      <c r="C58" s="3" t="s">
        <v>84</v>
      </c>
      <c r="D58" s="3" t="s">
        <v>174</v>
      </c>
    </row>
    <row r="59" ht="15.75" customHeight="1">
      <c r="A59" s="3" t="s">
        <v>12</v>
      </c>
      <c r="B59" s="3" t="s">
        <v>13</v>
      </c>
      <c r="C59" s="3" t="s">
        <v>14</v>
      </c>
      <c r="D59" s="3" t="s">
        <v>15</v>
      </c>
    </row>
    <row r="60" ht="15.75" customHeight="1">
      <c r="A60" s="3" t="s">
        <v>175</v>
      </c>
      <c r="B60" s="3" t="s">
        <v>176</v>
      </c>
      <c r="C60" s="3" t="s">
        <v>18</v>
      </c>
      <c r="D60" s="3" t="s">
        <v>177</v>
      </c>
    </row>
    <row r="61" ht="15.75" customHeight="1">
      <c r="A61" s="3" t="s">
        <v>178</v>
      </c>
      <c r="B61" s="3" t="s">
        <v>179</v>
      </c>
      <c r="C61" s="3" t="s">
        <v>18</v>
      </c>
      <c r="D61" s="3" t="s">
        <v>180</v>
      </c>
    </row>
    <row r="62" ht="15.75" customHeight="1">
      <c r="A62" s="3" t="s">
        <v>181</v>
      </c>
      <c r="B62" s="3" t="s">
        <v>182</v>
      </c>
      <c r="C62" s="3" t="s">
        <v>27</v>
      </c>
      <c r="D62" s="3" t="s">
        <v>183</v>
      </c>
    </row>
    <row r="63" ht="15.75" customHeight="1">
      <c r="A63" s="3" t="s">
        <v>184</v>
      </c>
      <c r="B63" s="3" t="s">
        <v>185</v>
      </c>
      <c r="C63" s="3" t="s">
        <v>27</v>
      </c>
      <c r="D63" s="3" t="s">
        <v>186</v>
      </c>
    </row>
    <row r="64" ht="15.75" customHeight="1">
      <c r="A64" s="3" t="s">
        <v>187</v>
      </c>
      <c r="B64" s="3" t="s">
        <v>188</v>
      </c>
      <c r="C64" s="3" t="s">
        <v>27</v>
      </c>
      <c r="D64" s="3" t="s">
        <v>189</v>
      </c>
    </row>
    <row r="65" ht="15.75" customHeight="1">
      <c r="A65" s="3" t="s">
        <v>190</v>
      </c>
      <c r="B65" s="3" t="s">
        <v>191</v>
      </c>
      <c r="C65" s="3" t="s">
        <v>18</v>
      </c>
      <c r="D65" s="3" t="s">
        <v>192</v>
      </c>
    </row>
    <row r="66" ht="15.75" customHeight="1">
      <c r="A66" s="3" t="s">
        <v>193</v>
      </c>
      <c r="B66" s="3" t="s">
        <v>194</v>
      </c>
      <c r="C66" s="3" t="s">
        <v>27</v>
      </c>
      <c r="D66" s="3" t="s">
        <v>195</v>
      </c>
    </row>
    <row r="67" ht="15.75" customHeight="1">
      <c r="A67" s="3" t="s">
        <v>196</v>
      </c>
      <c r="B67" s="3" t="s">
        <v>197</v>
      </c>
      <c r="C67" s="3" t="s">
        <v>27</v>
      </c>
      <c r="D67" s="3" t="s">
        <v>198</v>
      </c>
    </row>
    <row r="68" ht="15.75" customHeight="1">
      <c r="A68" s="3" t="s">
        <v>199</v>
      </c>
      <c r="B68" s="3" t="s">
        <v>200</v>
      </c>
      <c r="C68" s="3" t="s">
        <v>27</v>
      </c>
      <c r="D68" s="3" t="s">
        <v>201</v>
      </c>
    </row>
    <row r="69" ht="15.75" customHeight="1">
      <c r="A69" s="3" t="s">
        <v>202</v>
      </c>
      <c r="B69" s="3" t="s">
        <v>203</v>
      </c>
      <c r="C69" s="3" t="s">
        <v>27</v>
      </c>
      <c r="D69" s="3" t="s">
        <v>204</v>
      </c>
    </row>
    <row r="70" ht="15.75" customHeight="1">
      <c r="A70" s="3" t="s">
        <v>205</v>
      </c>
      <c r="B70" s="3" t="s">
        <v>206</v>
      </c>
      <c r="C70" s="3" t="s">
        <v>27</v>
      </c>
      <c r="D70" s="3" t="s">
        <v>207</v>
      </c>
    </row>
    <row r="71" ht="15.75" customHeight="1">
      <c r="A71" s="3" t="s">
        <v>208</v>
      </c>
      <c r="B71" s="3" t="s">
        <v>209</v>
      </c>
      <c r="C71" s="3" t="s">
        <v>18</v>
      </c>
      <c r="D71" s="3" t="s">
        <v>210</v>
      </c>
    </row>
    <row r="72" ht="15.75" customHeight="1">
      <c r="A72" s="3" t="s">
        <v>211</v>
      </c>
      <c r="B72" s="3" t="s">
        <v>212</v>
      </c>
      <c r="C72" s="3" t="s">
        <v>27</v>
      </c>
      <c r="D72" s="3" t="s">
        <v>213</v>
      </c>
    </row>
    <row r="73" ht="15.75" customHeight="1">
      <c r="A73" s="3" t="s">
        <v>214</v>
      </c>
      <c r="B73" s="3" t="s">
        <v>215</v>
      </c>
      <c r="C73" s="3" t="s">
        <v>27</v>
      </c>
      <c r="D73" s="3" t="s">
        <v>216</v>
      </c>
    </row>
    <row r="74" ht="15.75" customHeight="1">
      <c r="A74" s="3" t="s">
        <v>217</v>
      </c>
      <c r="B74" s="3" t="s">
        <v>218</v>
      </c>
      <c r="C74" s="3" t="s">
        <v>18</v>
      </c>
      <c r="D74" s="3" t="s">
        <v>219</v>
      </c>
    </row>
    <row r="75" ht="15.75" customHeight="1">
      <c r="A75" s="3" t="s">
        <v>220</v>
      </c>
      <c r="B75" s="3" t="s">
        <v>221</v>
      </c>
      <c r="C75" s="3" t="s">
        <v>27</v>
      </c>
      <c r="D75" s="3" t="s">
        <v>222</v>
      </c>
    </row>
    <row r="76" ht="15.75" customHeight="1">
      <c r="A76" s="3" t="s">
        <v>223</v>
      </c>
      <c r="B76" s="3" t="s">
        <v>224</v>
      </c>
      <c r="C76" s="3" t="s">
        <v>27</v>
      </c>
      <c r="D76" s="3" t="s">
        <v>225</v>
      </c>
    </row>
    <row r="77" ht="15.75" customHeight="1">
      <c r="A77" s="3" t="s">
        <v>226</v>
      </c>
      <c r="B77" s="3" t="s">
        <v>227</v>
      </c>
      <c r="C77" s="3" t="s">
        <v>18</v>
      </c>
      <c r="D77" s="3" t="s">
        <v>228</v>
      </c>
    </row>
    <row r="78" ht="15.75" customHeight="1">
      <c r="A78" s="3" t="s">
        <v>229</v>
      </c>
      <c r="B78" s="3" t="s">
        <v>230</v>
      </c>
      <c r="C78" s="3" t="s">
        <v>27</v>
      </c>
      <c r="D78" s="3" t="s">
        <v>231</v>
      </c>
    </row>
    <row r="79" ht="15.75" customHeight="1">
      <c r="A79" s="3" t="s">
        <v>232</v>
      </c>
      <c r="B79" s="3" t="s">
        <v>233</v>
      </c>
      <c r="C79" s="3" t="s">
        <v>27</v>
      </c>
      <c r="D79" s="3" t="s">
        <v>234</v>
      </c>
    </row>
    <row r="80" ht="15.75" customHeight="1">
      <c r="A80" s="3" t="s">
        <v>235</v>
      </c>
      <c r="B80" s="3" t="s">
        <v>236</v>
      </c>
      <c r="C80" s="3" t="s">
        <v>18</v>
      </c>
      <c r="D80" s="3" t="s">
        <v>237</v>
      </c>
    </row>
    <row r="81" ht="15.75" customHeight="1">
      <c r="A81" s="3" t="s">
        <v>238</v>
      </c>
      <c r="B81" s="3" t="s">
        <v>239</v>
      </c>
      <c r="C81" s="3" t="s">
        <v>27</v>
      </c>
      <c r="D81" s="3" t="s">
        <v>240</v>
      </c>
    </row>
    <row r="82" ht="15.75" customHeight="1">
      <c r="A82" s="3" t="s">
        <v>241</v>
      </c>
      <c r="B82" s="3" t="s">
        <v>242</v>
      </c>
      <c r="C82" s="3" t="s">
        <v>18</v>
      </c>
      <c r="D82" s="3" t="s">
        <v>243</v>
      </c>
    </row>
    <row r="83" ht="15.75" customHeight="1">
      <c r="A83" s="3" t="s">
        <v>244</v>
      </c>
      <c r="B83" s="3" t="s">
        <v>245</v>
      </c>
      <c r="C83" s="3" t="s">
        <v>27</v>
      </c>
      <c r="D83" s="3" t="s">
        <v>246</v>
      </c>
    </row>
    <row r="84" ht="15.75" customHeight="1">
      <c r="A84" s="3" t="s">
        <v>247</v>
      </c>
      <c r="B84" s="3" t="s">
        <v>248</v>
      </c>
      <c r="C84" s="3" t="s">
        <v>27</v>
      </c>
      <c r="D84" s="3" t="s">
        <v>249</v>
      </c>
    </row>
    <row r="85" ht="15.75" customHeight="1">
      <c r="A85" s="3" t="s">
        <v>250</v>
      </c>
      <c r="B85" s="3" t="s">
        <v>251</v>
      </c>
      <c r="C85" s="3" t="s">
        <v>18</v>
      </c>
      <c r="D85" s="3" t="s">
        <v>252</v>
      </c>
    </row>
    <row r="86" ht="15.75" customHeight="1">
      <c r="A86" s="3" t="s">
        <v>253</v>
      </c>
      <c r="B86" s="3" t="s">
        <v>254</v>
      </c>
      <c r="C86" s="3" t="s">
        <v>27</v>
      </c>
      <c r="D86" s="3" t="s">
        <v>255</v>
      </c>
    </row>
    <row r="87" ht="15.75" customHeight="1">
      <c r="A87" s="3" t="s">
        <v>256</v>
      </c>
      <c r="B87" s="3" t="s">
        <v>257</v>
      </c>
      <c r="C87" s="3" t="s">
        <v>27</v>
      </c>
      <c r="D87" s="3" t="s">
        <v>258</v>
      </c>
    </row>
    <row r="88" ht="15.75" customHeight="1">
      <c r="A88" s="3" t="s">
        <v>259</v>
      </c>
      <c r="B88" s="3" t="s">
        <v>260</v>
      </c>
      <c r="C88" s="3" t="s">
        <v>27</v>
      </c>
      <c r="D88" s="3" t="s">
        <v>261</v>
      </c>
    </row>
    <row r="89" ht="15.75" customHeight="1">
      <c r="A89" s="3" t="s">
        <v>262</v>
      </c>
      <c r="B89" s="3" t="s">
        <v>263</v>
      </c>
      <c r="C89" s="3" t="s">
        <v>27</v>
      </c>
      <c r="D89" s="3" t="s">
        <v>264</v>
      </c>
    </row>
    <row r="90" ht="15.75" customHeight="1">
      <c r="A90" s="3" t="s">
        <v>265</v>
      </c>
      <c r="B90" s="3" t="s">
        <v>266</v>
      </c>
      <c r="C90" s="3" t="s">
        <v>18</v>
      </c>
      <c r="D90" s="3" t="s">
        <v>267</v>
      </c>
    </row>
    <row r="91" ht="15.75" customHeight="1">
      <c r="A91" s="3" t="s">
        <v>268</v>
      </c>
      <c r="B91" s="3" t="s">
        <v>269</v>
      </c>
      <c r="C91" s="3" t="s">
        <v>27</v>
      </c>
      <c r="D91" s="3" t="s">
        <v>270</v>
      </c>
    </row>
    <row r="92" ht="15.75" customHeight="1">
      <c r="A92" s="3" t="s">
        <v>271</v>
      </c>
      <c r="B92" s="3" t="s">
        <v>272</v>
      </c>
      <c r="C92" s="3" t="s">
        <v>27</v>
      </c>
      <c r="D92" s="3" t="s">
        <v>273</v>
      </c>
    </row>
    <row r="93" ht="15.75" customHeight="1">
      <c r="A93" s="3" t="s">
        <v>274</v>
      </c>
      <c r="B93" s="3" t="s">
        <v>275</v>
      </c>
      <c r="C93" s="3" t="s">
        <v>27</v>
      </c>
      <c r="D93" s="3" t="s">
        <v>276</v>
      </c>
    </row>
    <row r="94" ht="15.75" customHeight="1">
      <c r="A94" s="3" t="s">
        <v>277</v>
      </c>
      <c r="B94" s="3" t="s">
        <v>278</v>
      </c>
      <c r="C94" s="3" t="s">
        <v>27</v>
      </c>
      <c r="D94" s="3" t="s">
        <v>279</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12</v>
      </c>
      <c r="B1" s="6" t="s">
        <v>13</v>
      </c>
      <c r="C1" s="6" t="s">
        <v>14</v>
      </c>
      <c r="D1" s="6" t="s">
        <v>280</v>
      </c>
    </row>
    <row r="2">
      <c r="A2" s="3" t="s">
        <v>281</v>
      </c>
      <c r="B2" s="3" t="s">
        <v>282</v>
      </c>
      <c r="C2" s="3" t="s">
        <v>18</v>
      </c>
      <c r="D2" s="3" t="s">
        <v>283</v>
      </c>
    </row>
    <row r="3">
      <c r="A3" s="3" t="s">
        <v>284</v>
      </c>
      <c r="B3" s="3" t="s">
        <v>285</v>
      </c>
      <c r="C3" s="3" t="s">
        <v>18</v>
      </c>
      <c r="D3" s="3" t="s">
        <v>286</v>
      </c>
    </row>
    <row r="4">
      <c r="A4" s="3" t="s">
        <v>287</v>
      </c>
      <c r="B4" s="3" t="s">
        <v>288</v>
      </c>
      <c r="C4" s="3" t="s">
        <v>18</v>
      </c>
      <c r="D4" s="3" t="s">
        <v>289</v>
      </c>
    </row>
    <row r="5">
      <c r="A5" s="3" t="s">
        <v>290</v>
      </c>
      <c r="B5" s="3" t="s">
        <v>291</v>
      </c>
      <c r="C5" s="3" t="s">
        <v>18</v>
      </c>
      <c r="D5" s="3" t="s">
        <v>292</v>
      </c>
    </row>
    <row r="6">
      <c r="A6" s="3" t="s">
        <v>293</v>
      </c>
      <c r="B6" s="3" t="s">
        <v>294</v>
      </c>
      <c r="C6" s="3" t="s">
        <v>18</v>
      </c>
      <c r="D6" s="3" t="s">
        <v>295</v>
      </c>
    </row>
    <row r="7">
      <c r="A7" s="3" t="s">
        <v>296</v>
      </c>
      <c r="B7" s="3" t="s">
        <v>297</v>
      </c>
      <c r="C7" s="3" t="s">
        <v>18</v>
      </c>
      <c r="D7" s="3" t="s">
        <v>298</v>
      </c>
    </row>
    <row r="8">
      <c r="A8" s="3" t="s">
        <v>299</v>
      </c>
      <c r="B8" s="3" t="s">
        <v>300</v>
      </c>
      <c r="C8" s="3" t="s">
        <v>18</v>
      </c>
      <c r="D8" s="3" t="s">
        <v>301</v>
      </c>
    </row>
    <row r="9">
      <c r="A9" s="3" t="s">
        <v>302</v>
      </c>
      <c r="B9" s="3" t="s">
        <v>303</v>
      </c>
      <c r="C9" s="3" t="s">
        <v>18</v>
      </c>
      <c r="D9" s="3" t="s">
        <v>304</v>
      </c>
    </row>
    <row r="10">
      <c r="A10" s="3" t="s">
        <v>305</v>
      </c>
      <c r="B10" s="3" t="s">
        <v>306</v>
      </c>
      <c r="C10" s="3" t="s">
        <v>27</v>
      </c>
      <c r="D10" s="3" t="s">
        <v>307</v>
      </c>
    </row>
    <row r="11">
      <c r="A11" s="3" t="s">
        <v>308</v>
      </c>
      <c r="B11" s="3" t="s">
        <v>309</v>
      </c>
      <c r="C11" s="3" t="s">
        <v>27</v>
      </c>
      <c r="D11" s="3" t="s">
        <v>310</v>
      </c>
    </row>
    <row r="12">
      <c r="A12" s="3" t="s">
        <v>311</v>
      </c>
      <c r="B12" s="3" t="s">
        <v>312</v>
      </c>
      <c r="C12" s="3" t="s">
        <v>27</v>
      </c>
      <c r="D12" s="3" t="s">
        <v>313</v>
      </c>
    </row>
    <row r="13">
      <c r="A13" s="3" t="s">
        <v>314</v>
      </c>
      <c r="B13" s="3" t="s">
        <v>315</v>
      </c>
      <c r="C13" s="3" t="s">
        <v>27</v>
      </c>
      <c r="D13" s="3" t="s">
        <v>316</v>
      </c>
    </row>
    <row r="14">
      <c r="A14" s="3" t="s">
        <v>317</v>
      </c>
      <c r="B14" s="3" t="s">
        <v>318</v>
      </c>
      <c r="C14" s="3" t="s">
        <v>27</v>
      </c>
      <c r="D14" s="3" t="s">
        <v>319</v>
      </c>
    </row>
    <row r="15">
      <c r="A15" s="3" t="s">
        <v>320</v>
      </c>
      <c r="B15" s="3" t="s">
        <v>321</v>
      </c>
      <c r="C15" s="3" t="s">
        <v>27</v>
      </c>
      <c r="D15" s="3" t="s">
        <v>322</v>
      </c>
    </row>
    <row r="16">
      <c r="A16" s="3" t="s">
        <v>323</v>
      </c>
      <c r="B16" s="3" t="s">
        <v>324</v>
      </c>
      <c r="C16" s="3" t="s">
        <v>27</v>
      </c>
      <c r="D16" s="3" t="s">
        <v>325</v>
      </c>
    </row>
    <row r="17">
      <c r="A17" s="3" t="s">
        <v>326</v>
      </c>
      <c r="B17" s="3" t="s">
        <v>327</v>
      </c>
      <c r="C17" s="3" t="s">
        <v>27</v>
      </c>
      <c r="D17" s="3" t="s">
        <v>328</v>
      </c>
    </row>
    <row r="18">
      <c r="A18" s="3" t="s">
        <v>329</v>
      </c>
      <c r="B18" s="3" t="s">
        <v>330</v>
      </c>
      <c r="C18" s="3" t="s">
        <v>27</v>
      </c>
      <c r="D18" s="3" t="s">
        <v>331</v>
      </c>
    </row>
    <row r="19">
      <c r="A19" s="3" t="s">
        <v>332</v>
      </c>
      <c r="B19" s="3" t="s">
        <v>333</v>
      </c>
      <c r="C19" s="3" t="s">
        <v>27</v>
      </c>
      <c r="D19" s="3" t="s">
        <v>334</v>
      </c>
    </row>
    <row r="20">
      <c r="A20" s="3" t="s">
        <v>335</v>
      </c>
      <c r="B20" s="3" t="s">
        <v>336</v>
      </c>
      <c r="C20" s="3" t="s">
        <v>27</v>
      </c>
      <c r="D20" s="3" t="s">
        <v>337</v>
      </c>
    </row>
    <row r="21" ht="15.75" customHeight="1">
      <c r="A21" s="3" t="s">
        <v>338</v>
      </c>
      <c r="B21" s="3" t="s">
        <v>339</v>
      </c>
      <c r="C21" s="3" t="s">
        <v>27</v>
      </c>
      <c r="D21" s="3" t="s">
        <v>340</v>
      </c>
    </row>
    <row r="22" ht="15.75" customHeight="1">
      <c r="A22" s="3" t="s">
        <v>341</v>
      </c>
      <c r="B22" s="3" t="s">
        <v>342</v>
      </c>
      <c r="C22" s="3" t="s">
        <v>18</v>
      </c>
      <c r="D22" s="3" t="s">
        <v>343</v>
      </c>
    </row>
    <row r="23" ht="15.75" customHeight="1">
      <c r="A23" s="3" t="s">
        <v>344</v>
      </c>
      <c r="B23" s="3" t="s">
        <v>345</v>
      </c>
      <c r="C23" s="3" t="s">
        <v>18</v>
      </c>
      <c r="D23" s="3" t="s">
        <v>346</v>
      </c>
    </row>
    <row r="24" ht="15.75" customHeight="1">
      <c r="A24" s="3" t="s">
        <v>347</v>
      </c>
      <c r="B24" s="3" t="s">
        <v>348</v>
      </c>
      <c r="C24" s="3" t="s">
        <v>18</v>
      </c>
      <c r="D24" s="3" t="s">
        <v>349</v>
      </c>
    </row>
    <row r="25" ht="15.75" customHeight="1">
      <c r="A25" s="3" t="s">
        <v>350</v>
      </c>
      <c r="B25" s="3" t="s">
        <v>351</v>
      </c>
      <c r="C25" s="3" t="s">
        <v>18</v>
      </c>
      <c r="D25" s="3" t="s">
        <v>352</v>
      </c>
    </row>
    <row r="26" ht="15.75" customHeight="1">
      <c r="A26" s="3" t="s">
        <v>353</v>
      </c>
      <c r="B26" s="3" t="s">
        <v>354</v>
      </c>
      <c r="C26" s="3" t="s">
        <v>18</v>
      </c>
      <c r="D26" s="3" t="s">
        <v>355</v>
      </c>
    </row>
    <row r="27" ht="15.75" customHeight="1">
      <c r="A27" s="3" t="s">
        <v>356</v>
      </c>
      <c r="B27" s="3" t="s">
        <v>357</v>
      </c>
      <c r="C27" s="3" t="s">
        <v>18</v>
      </c>
      <c r="D27" s="3" t="s">
        <v>358</v>
      </c>
    </row>
    <row r="28" ht="15.75" customHeight="1">
      <c r="A28" s="3" t="s">
        <v>359</v>
      </c>
      <c r="B28" s="3" t="s">
        <v>360</v>
      </c>
      <c r="C28" s="3" t="s">
        <v>27</v>
      </c>
      <c r="D28" s="3" t="s">
        <v>361</v>
      </c>
    </row>
    <row r="29" ht="15.75" customHeight="1">
      <c r="A29" s="3" t="s">
        <v>362</v>
      </c>
      <c r="B29" s="3" t="s">
        <v>363</v>
      </c>
      <c r="C29" s="3" t="s">
        <v>27</v>
      </c>
      <c r="D29" s="3" t="s">
        <v>364</v>
      </c>
    </row>
    <row r="30" ht="15.75" customHeight="1">
      <c r="A30" s="3" t="s">
        <v>365</v>
      </c>
      <c r="B30" s="3" t="s">
        <v>366</v>
      </c>
      <c r="C30" s="3" t="s">
        <v>27</v>
      </c>
      <c r="D30" s="3" t="s">
        <v>367</v>
      </c>
    </row>
    <row r="31" ht="15.75" customHeight="1">
      <c r="A31" s="3" t="s">
        <v>368</v>
      </c>
      <c r="B31" s="3" t="s">
        <v>369</v>
      </c>
      <c r="C31" s="3" t="s">
        <v>27</v>
      </c>
      <c r="D31" s="3" t="s">
        <v>370</v>
      </c>
    </row>
    <row r="32" ht="15.75" customHeight="1">
      <c r="A32" s="3" t="s">
        <v>371</v>
      </c>
      <c r="B32" s="3" t="s">
        <v>372</v>
      </c>
      <c r="C32" s="3" t="s">
        <v>27</v>
      </c>
      <c r="D32" s="3" t="s">
        <v>373</v>
      </c>
    </row>
    <row r="33" ht="15.75" customHeight="1">
      <c r="A33" s="3" t="s">
        <v>374</v>
      </c>
      <c r="B33" s="3" t="s">
        <v>375</v>
      </c>
      <c r="C33" s="3" t="s">
        <v>27</v>
      </c>
      <c r="D33" s="3" t="s">
        <v>376</v>
      </c>
    </row>
    <row r="34" ht="15.75" customHeight="1">
      <c r="A34" s="3" t="s">
        <v>377</v>
      </c>
      <c r="B34" s="3" t="s">
        <v>378</v>
      </c>
      <c r="C34" s="3" t="s">
        <v>27</v>
      </c>
      <c r="D34" s="3" t="s">
        <v>379</v>
      </c>
    </row>
    <row r="35" ht="15.75" customHeight="1">
      <c r="A35" s="3" t="s">
        <v>380</v>
      </c>
      <c r="B35" s="3" t="s">
        <v>381</v>
      </c>
      <c r="C35" s="3" t="s">
        <v>27</v>
      </c>
      <c r="D35" s="3" t="s">
        <v>382</v>
      </c>
    </row>
    <row r="36" ht="15.75" customHeight="1">
      <c r="A36" s="3" t="s">
        <v>383</v>
      </c>
      <c r="B36" s="3" t="s">
        <v>384</v>
      </c>
      <c r="C36" s="3" t="s">
        <v>27</v>
      </c>
      <c r="D36" s="3" t="s">
        <v>385</v>
      </c>
    </row>
    <row r="37" ht="15.75" customHeight="1">
      <c r="A37" s="3" t="s">
        <v>386</v>
      </c>
      <c r="B37" s="3" t="s">
        <v>387</v>
      </c>
      <c r="C37" s="3" t="s">
        <v>27</v>
      </c>
      <c r="D37" s="3" t="s">
        <v>388</v>
      </c>
    </row>
    <row r="38" ht="15.75" customHeight="1">
      <c r="A38" s="3" t="s">
        <v>389</v>
      </c>
      <c r="B38" s="3" t="s">
        <v>390</v>
      </c>
      <c r="C38" s="3" t="s">
        <v>27</v>
      </c>
      <c r="D38" s="3" t="s">
        <v>391</v>
      </c>
    </row>
    <row r="39" ht="15.75" customHeight="1">
      <c r="A39" s="3" t="s">
        <v>392</v>
      </c>
      <c r="B39" s="3" t="s">
        <v>393</v>
      </c>
      <c r="C39" s="3" t="s">
        <v>27</v>
      </c>
      <c r="D39" s="3" t="s">
        <v>367</v>
      </c>
    </row>
    <row r="40" ht="15.75" customHeight="1">
      <c r="A40" s="3" t="s">
        <v>394</v>
      </c>
      <c r="B40" s="3" t="s">
        <v>395</v>
      </c>
      <c r="C40" s="3" t="s">
        <v>27</v>
      </c>
      <c r="D40" s="3" t="s">
        <v>396</v>
      </c>
    </row>
    <row r="41" ht="15.75" customHeight="1">
      <c r="A41" s="3" t="s">
        <v>397</v>
      </c>
      <c r="B41" s="3" t="s">
        <v>398</v>
      </c>
      <c r="C41" s="3" t="s">
        <v>18</v>
      </c>
      <c r="D41" s="3" t="s">
        <v>399</v>
      </c>
    </row>
    <row r="42" ht="15.75" customHeight="1">
      <c r="A42" s="3" t="s">
        <v>400</v>
      </c>
      <c r="B42" s="3" t="s">
        <v>401</v>
      </c>
      <c r="C42" s="3" t="s">
        <v>18</v>
      </c>
      <c r="D42" s="3" t="s">
        <v>402</v>
      </c>
    </row>
    <row r="43" ht="15.75" customHeight="1">
      <c r="A43" s="3" t="s">
        <v>403</v>
      </c>
      <c r="B43" s="3" t="s">
        <v>404</v>
      </c>
      <c r="C43" s="3" t="s">
        <v>18</v>
      </c>
      <c r="D43" s="3" t="s">
        <v>405</v>
      </c>
    </row>
    <row r="44" ht="15.75" customHeight="1">
      <c r="A44" s="3" t="s">
        <v>406</v>
      </c>
      <c r="B44" s="3" t="s">
        <v>407</v>
      </c>
      <c r="C44" s="3" t="s">
        <v>18</v>
      </c>
      <c r="D44" s="3" t="s">
        <v>408</v>
      </c>
    </row>
    <row r="45" ht="15.75" customHeight="1">
      <c r="A45" s="3" t="s">
        <v>409</v>
      </c>
      <c r="B45" s="3" t="s">
        <v>410</v>
      </c>
      <c r="C45" s="3" t="s">
        <v>27</v>
      </c>
      <c r="D45" s="3" t="s">
        <v>411</v>
      </c>
    </row>
    <row r="46" ht="15.75" customHeight="1">
      <c r="A46" s="3" t="s">
        <v>412</v>
      </c>
      <c r="B46" s="3" t="s">
        <v>413</v>
      </c>
      <c r="C46" s="3" t="s">
        <v>27</v>
      </c>
      <c r="D46" s="3" t="s">
        <v>414</v>
      </c>
    </row>
    <row r="47" ht="15.75" customHeight="1">
      <c r="A47" s="3" t="s">
        <v>415</v>
      </c>
      <c r="B47" s="3" t="s">
        <v>416</v>
      </c>
      <c r="C47" s="3" t="s">
        <v>27</v>
      </c>
      <c r="D47" s="3" t="s">
        <v>417</v>
      </c>
    </row>
    <row r="48" ht="15.75" customHeight="1">
      <c r="A48" s="3" t="s">
        <v>418</v>
      </c>
      <c r="B48" s="3" t="s">
        <v>419</v>
      </c>
      <c r="C48" s="3" t="s">
        <v>27</v>
      </c>
      <c r="D48" s="3" t="s">
        <v>420</v>
      </c>
    </row>
    <row r="49" ht="15.75" customHeight="1">
      <c r="A49" s="3" t="s">
        <v>421</v>
      </c>
      <c r="B49" s="3" t="s">
        <v>422</v>
      </c>
      <c r="C49" s="3" t="s">
        <v>27</v>
      </c>
      <c r="D49" s="3" t="s">
        <v>367</v>
      </c>
    </row>
    <row r="50" ht="15.75" customHeight="1">
      <c r="A50" s="3" t="s">
        <v>423</v>
      </c>
      <c r="B50" s="3" t="s">
        <v>424</v>
      </c>
      <c r="C50" s="3" t="s">
        <v>27</v>
      </c>
      <c r="D50" s="3" t="s">
        <v>425</v>
      </c>
    </row>
    <row r="51" ht="15.75" customHeight="1">
      <c r="A51" s="3" t="s">
        <v>426</v>
      </c>
      <c r="B51" s="3" t="s">
        <v>427</v>
      </c>
      <c r="C51" s="3" t="s">
        <v>27</v>
      </c>
      <c r="D51" s="3" t="s">
        <v>428</v>
      </c>
    </row>
    <row r="52" ht="15.75" customHeight="1">
      <c r="A52" s="3" t="s">
        <v>429</v>
      </c>
      <c r="B52" s="3" t="s">
        <v>430</v>
      </c>
      <c r="C52" s="3" t="s">
        <v>27</v>
      </c>
      <c r="D52" s="3" t="s">
        <v>431</v>
      </c>
    </row>
    <row r="53" ht="15.75" customHeight="1">
      <c r="A53" s="3" t="s">
        <v>432</v>
      </c>
      <c r="B53" s="3" t="s">
        <v>433</v>
      </c>
      <c r="C53" s="3" t="s">
        <v>18</v>
      </c>
      <c r="D53" s="3" t="s">
        <v>434</v>
      </c>
    </row>
    <row r="54" ht="15.75" customHeight="1">
      <c r="A54" s="3" t="s">
        <v>435</v>
      </c>
      <c r="B54" s="3" t="s">
        <v>436</v>
      </c>
      <c r="C54" s="3" t="s">
        <v>27</v>
      </c>
      <c r="D54" s="3" t="s">
        <v>437</v>
      </c>
    </row>
    <row r="55" ht="15.75" customHeight="1">
      <c r="A55" s="3" t="s">
        <v>438</v>
      </c>
      <c r="B55" s="3" t="s">
        <v>439</v>
      </c>
      <c r="C55" s="3" t="s">
        <v>18</v>
      </c>
      <c r="D55" s="3" t="s">
        <v>440</v>
      </c>
    </row>
    <row r="56" ht="15.75" customHeight="1">
      <c r="A56" s="3" t="s">
        <v>441</v>
      </c>
      <c r="B56" s="3" t="s">
        <v>442</v>
      </c>
      <c r="C56" s="3" t="s">
        <v>18</v>
      </c>
      <c r="D56" s="3" t="s">
        <v>443</v>
      </c>
    </row>
    <row r="57" ht="15.75" customHeight="1">
      <c r="A57" s="3" t="s">
        <v>444</v>
      </c>
      <c r="B57" s="3" t="s">
        <v>445</v>
      </c>
      <c r="C57" s="3" t="s">
        <v>18</v>
      </c>
      <c r="D57" s="3" t="s">
        <v>446</v>
      </c>
    </row>
    <row r="58" ht="15.75" customHeight="1">
      <c r="A58" s="3" t="s">
        <v>447</v>
      </c>
      <c r="B58" s="3" t="s">
        <v>448</v>
      </c>
      <c r="C58" s="3" t="s">
        <v>27</v>
      </c>
      <c r="D58" s="3" t="s">
        <v>449</v>
      </c>
    </row>
    <row r="59" ht="15.75" customHeight="1">
      <c r="A59" s="3" t="s">
        <v>450</v>
      </c>
      <c r="B59" s="3" t="s">
        <v>451</v>
      </c>
      <c r="C59" s="3" t="s">
        <v>27</v>
      </c>
      <c r="D59" s="3" t="s">
        <v>452</v>
      </c>
    </row>
    <row r="60" ht="15.75" customHeight="1">
      <c r="A60" s="3" t="s">
        <v>453</v>
      </c>
      <c r="B60" s="3" t="s">
        <v>454</v>
      </c>
      <c r="C60" s="3" t="s">
        <v>27</v>
      </c>
      <c r="D60" s="3" t="s">
        <v>455</v>
      </c>
    </row>
    <row r="61" ht="15.75" customHeight="1">
      <c r="A61" s="3" t="s">
        <v>456</v>
      </c>
      <c r="B61" s="3" t="s">
        <v>457</v>
      </c>
      <c r="C61" s="3" t="s">
        <v>27</v>
      </c>
      <c r="D61" s="3" t="s">
        <v>458</v>
      </c>
    </row>
    <row r="62" ht="15.75" customHeight="1">
      <c r="A62" s="3" t="s">
        <v>459</v>
      </c>
      <c r="B62" s="3" t="s">
        <v>460</v>
      </c>
      <c r="C62" s="3" t="s">
        <v>27</v>
      </c>
      <c r="D62" s="3" t="s">
        <v>461</v>
      </c>
    </row>
    <row r="63" ht="15.75" customHeight="1">
      <c r="A63" s="3" t="s">
        <v>462</v>
      </c>
      <c r="B63" s="3" t="s">
        <v>463</v>
      </c>
      <c r="C63" s="3" t="s">
        <v>27</v>
      </c>
      <c r="D63" s="3" t="s">
        <v>464</v>
      </c>
    </row>
    <row r="64" ht="15.75" customHeight="1">
      <c r="A64" s="3" t="s">
        <v>465</v>
      </c>
      <c r="B64" s="3" t="s">
        <v>466</v>
      </c>
      <c r="C64" s="3" t="s">
        <v>27</v>
      </c>
      <c r="D64" s="3" t="s">
        <v>467</v>
      </c>
    </row>
    <row r="65" ht="15.75" customHeight="1">
      <c r="A65" s="3" t="s">
        <v>468</v>
      </c>
      <c r="B65" s="3" t="s">
        <v>469</v>
      </c>
      <c r="C65" s="3" t="s">
        <v>18</v>
      </c>
      <c r="D65" s="3" t="s">
        <v>470</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12</v>
      </c>
      <c r="B1" s="6" t="s">
        <v>13</v>
      </c>
      <c r="C1" s="6" t="s">
        <v>471</v>
      </c>
      <c r="D1" s="6" t="s">
        <v>280</v>
      </c>
    </row>
    <row r="2">
      <c r="A2" s="3" t="s">
        <v>472</v>
      </c>
      <c r="B2" s="3" t="s">
        <v>473</v>
      </c>
      <c r="C2" s="3" t="s">
        <v>27</v>
      </c>
      <c r="D2" s="3" t="s">
        <v>474</v>
      </c>
    </row>
    <row r="3">
      <c r="A3" s="3" t="s">
        <v>475</v>
      </c>
      <c r="B3" s="3" t="s">
        <v>476</v>
      </c>
      <c r="C3" s="3" t="s">
        <v>27</v>
      </c>
      <c r="D3" s="3" t="s">
        <v>477</v>
      </c>
    </row>
    <row r="4">
      <c r="A4" s="3" t="s">
        <v>478</v>
      </c>
      <c r="B4" s="3" t="s">
        <v>479</v>
      </c>
      <c r="C4" s="3" t="s">
        <v>27</v>
      </c>
      <c r="D4" s="3" t="s">
        <v>480</v>
      </c>
    </row>
    <row r="5">
      <c r="A5" s="3" t="s">
        <v>481</v>
      </c>
      <c r="B5" s="3" t="s">
        <v>482</v>
      </c>
      <c r="C5" s="3" t="s">
        <v>27</v>
      </c>
      <c r="D5" s="3" t="s">
        <v>483</v>
      </c>
    </row>
    <row r="6">
      <c r="A6" s="3" t="s">
        <v>484</v>
      </c>
      <c r="B6" s="3" t="s">
        <v>485</v>
      </c>
      <c r="C6" s="3" t="s">
        <v>27</v>
      </c>
      <c r="D6" s="3" t="s">
        <v>486</v>
      </c>
    </row>
    <row r="7">
      <c r="A7" s="3" t="s">
        <v>487</v>
      </c>
      <c r="B7" s="3" t="s">
        <v>488</v>
      </c>
      <c r="C7" s="3" t="s">
        <v>27</v>
      </c>
      <c r="D7" s="3" t="s">
        <v>489</v>
      </c>
    </row>
    <row r="8">
      <c r="A8" s="3" t="s">
        <v>490</v>
      </c>
      <c r="B8" s="3" t="s">
        <v>491</v>
      </c>
      <c r="C8" s="3" t="s">
        <v>27</v>
      </c>
      <c r="D8" s="3" t="s">
        <v>492</v>
      </c>
    </row>
    <row r="9">
      <c r="A9" s="3" t="s">
        <v>493</v>
      </c>
      <c r="B9" s="3" t="s">
        <v>494</v>
      </c>
      <c r="C9" s="3" t="s">
        <v>27</v>
      </c>
      <c r="D9" s="3" t="s">
        <v>495</v>
      </c>
    </row>
    <row r="10">
      <c r="A10" s="3" t="s">
        <v>496</v>
      </c>
      <c r="B10" s="3" t="s">
        <v>497</v>
      </c>
      <c r="C10" s="3" t="s">
        <v>27</v>
      </c>
      <c r="D10" s="3" t="s">
        <v>498</v>
      </c>
    </row>
    <row r="11">
      <c r="A11" s="3" t="s">
        <v>499</v>
      </c>
      <c r="B11" s="3" t="s">
        <v>500</v>
      </c>
      <c r="C11" s="3" t="s">
        <v>27</v>
      </c>
      <c r="D11" s="3" t="s">
        <v>501</v>
      </c>
    </row>
    <row r="12">
      <c r="A12" s="3" t="s">
        <v>502</v>
      </c>
      <c r="B12" s="3" t="s">
        <v>503</v>
      </c>
      <c r="C12" s="3" t="s">
        <v>27</v>
      </c>
      <c r="D12" s="3" t="s">
        <v>504</v>
      </c>
    </row>
    <row r="13">
      <c r="A13" s="3" t="s">
        <v>505</v>
      </c>
      <c r="B13" s="3" t="s">
        <v>506</v>
      </c>
      <c r="C13" s="3" t="s">
        <v>27</v>
      </c>
      <c r="D13" s="3" t="s">
        <v>507</v>
      </c>
    </row>
    <row r="14">
      <c r="A14" s="3" t="s">
        <v>508</v>
      </c>
      <c r="B14" s="3" t="s">
        <v>509</v>
      </c>
      <c r="C14" s="3" t="s">
        <v>27</v>
      </c>
      <c r="D14" s="3" t="s">
        <v>510</v>
      </c>
    </row>
    <row r="15">
      <c r="A15" s="3" t="s">
        <v>511</v>
      </c>
      <c r="B15" s="3" t="s">
        <v>512</v>
      </c>
      <c r="C15" s="3" t="s">
        <v>27</v>
      </c>
      <c r="D15" s="3" t="s">
        <v>513</v>
      </c>
    </row>
    <row r="16">
      <c r="A16" s="3" t="s">
        <v>514</v>
      </c>
      <c r="B16" s="3" t="s">
        <v>515</v>
      </c>
      <c r="C16" s="3" t="s">
        <v>27</v>
      </c>
      <c r="D16" s="3" t="s">
        <v>516</v>
      </c>
    </row>
    <row r="17">
      <c r="A17" s="3" t="s">
        <v>517</v>
      </c>
      <c r="B17" s="3" t="s">
        <v>518</v>
      </c>
      <c r="C17" s="3" t="s">
        <v>27</v>
      </c>
      <c r="D17" s="3" t="s">
        <v>519</v>
      </c>
    </row>
    <row r="18">
      <c r="A18" s="3" t="s">
        <v>520</v>
      </c>
      <c r="B18" s="3" t="s">
        <v>521</v>
      </c>
      <c r="C18" s="3" t="s">
        <v>27</v>
      </c>
      <c r="D18" s="3" t="s">
        <v>522</v>
      </c>
    </row>
    <row r="19">
      <c r="A19" s="3" t="s">
        <v>523</v>
      </c>
      <c r="B19" s="3" t="s">
        <v>524</v>
      </c>
      <c r="C19" s="3" t="s">
        <v>27</v>
      </c>
      <c r="D19" s="3" t="s">
        <v>525</v>
      </c>
    </row>
    <row r="20">
      <c r="A20" s="3" t="s">
        <v>526</v>
      </c>
      <c r="B20" s="3" t="s">
        <v>527</v>
      </c>
      <c r="C20" s="3" t="s">
        <v>27</v>
      </c>
      <c r="D20" s="3" t="s">
        <v>528</v>
      </c>
    </row>
    <row r="21" ht="15.75" customHeight="1">
      <c r="A21" s="3" t="s">
        <v>529</v>
      </c>
      <c r="B21" s="3" t="s">
        <v>530</v>
      </c>
      <c r="C21" s="3" t="s">
        <v>27</v>
      </c>
      <c r="D21" s="3" t="s">
        <v>531</v>
      </c>
    </row>
    <row r="22" ht="15.75" customHeight="1">
      <c r="A22" s="3" t="s">
        <v>532</v>
      </c>
      <c r="B22" s="3" t="s">
        <v>533</v>
      </c>
      <c r="C22" s="3" t="s">
        <v>18</v>
      </c>
      <c r="D22" s="3" t="s">
        <v>534</v>
      </c>
    </row>
    <row r="23" ht="15.75" customHeight="1">
      <c r="A23" s="3" t="s">
        <v>535</v>
      </c>
      <c r="B23" s="3" t="s">
        <v>536</v>
      </c>
      <c r="C23" s="3" t="s">
        <v>18</v>
      </c>
      <c r="D23" s="3" t="s">
        <v>537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