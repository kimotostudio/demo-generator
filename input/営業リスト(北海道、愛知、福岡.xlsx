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北海道" sheetId="2" r:id="rId6"/>
    <sheet state="visible" name="愛知" sheetId="3" r:id="rId7"/>
    <sheet state="visible" name="福岡" sheetId="4" r:id="rId8"/>
  </sheets>
  <definedNames/>
  <calcPr/>
</workbook>
</file>

<file path=xl/sharedStrings.xml><?xml version="1.0" encoding="utf-8"?>
<sst xmlns="http://schemas.openxmlformats.org/spreadsheetml/2006/main" count="407" uniqueCount="307">
  <si>
    <t>id</t>
  </si>
  <si>
    <t>店名</t>
  </si>
  <si>
    <t>メアド</t>
  </si>
  <si>
    <t>url(旧)</t>
  </si>
  <si>
    <t>url(デモ)</t>
  </si>
  <si>
    <t>url(完成)</t>
  </si>
  <si>
    <t>password</t>
  </si>
  <si>
    <t>ステータス(0-4)</t>
  </si>
  <si>
    <t>0 送る前</t>
  </si>
  <si>
    <t>idは08000から</t>
  </si>
  <si>
    <t>北海道</t>
  </si>
  <si>
    <r>
      <rPr>
        <color rgb="FF1155CC"/>
        <u/>
      </rPr>
      <t>https://kimotostudioaaa.netlify.app/08000a</t>
    </r>
  </si>
  <si>
    <r>
      <rPr>
        <color rgb="FF1155CC"/>
        <u/>
      </rPr>
      <t>https://kimotostudioaaa.netlify.app/08001a</t>
    </r>
  </si>
  <si>
    <r>
      <rPr>
        <color rgb="FF1155CC"/>
        <u/>
      </rPr>
      <t>https://kimotostudioaaa.netlify.app/08002a</t>
    </r>
  </si>
  <si>
    <r>
      <rPr>
        <color rgb="FF1155CC"/>
        <u/>
      </rPr>
      <t>https://kimotostudioaaa.netlify.app/08003a</t>
    </r>
  </si>
  <si>
    <r>
      <rPr>
        <color rgb="FF1155CC"/>
        <u/>
      </rPr>
      <t>https://kimotostudioaaa.netlify.app/08004a</t>
    </r>
  </si>
  <si>
    <r>
      <rPr>
        <color rgb="FF1155CC"/>
        <u/>
      </rPr>
      <t>https://kimotostudioaaa.netlify.app/08005a</t>
    </r>
  </si>
  <si>
    <r>
      <rPr>
        <color rgb="FF1155CC"/>
        <u/>
      </rPr>
      <t>https://kimotostudioaaa.netlify.app/08006a</t>
    </r>
  </si>
  <si>
    <r>
      <rPr>
        <color rgb="FF1155CC"/>
        <u/>
      </rPr>
      <t>https://kimotostudioaaa.netlify.app/08007a</t>
    </r>
  </si>
  <si>
    <r>
      <rPr>
        <color rgb="FF1155CC"/>
        <u/>
      </rPr>
      <t>https://kimotostudioaaa.netlify.app/08008a</t>
    </r>
  </si>
  <si>
    <r>
      <rPr>
        <color rgb="FF1155CC"/>
        <u/>
      </rPr>
      <t>https://kimotostudioaaa.netlify.app/08009a</t>
    </r>
  </si>
  <si>
    <r>
      <rPr>
        <color rgb="FF1155CC"/>
        <u/>
      </rPr>
      <t>https://kimotostudioaaa.netlify.app/08010a</t>
    </r>
  </si>
  <si>
    <r>
      <rPr>
        <color rgb="FF1155CC"/>
        <u/>
      </rPr>
      <t>https://kimotostudioaaa.netlify.app/08011a</t>
    </r>
  </si>
  <si>
    <r>
      <rPr>
        <color rgb="FF1155CC"/>
        <u/>
      </rPr>
      <t>https://kimotostudioaaa.netlify.app/08012a</t>
    </r>
  </si>
  <si>
    <r>
      <rPr>
        <color rgb="FF1155CC"/>
        <u/>
      </rPr>
      <t>https://kimotostudioaaa.netlify.app/08013a</t>
    </r>
  </si>
  <si>
    <r>
      <rPr>
        <color rgb="FF1155CC"/>
        <u/>
      </rPr>
      <t>https://kimotostudioaaa.netlify.app/08014a</t>
    </r>
  </si>
  <si>
    <r>
      <rPr>
        <color rgb="FF1155CC"/>
        <u/>
      </rPr>
      <t>https://kimotostudioaaa.netlify.app/08015a</t>
    </r>
  </si>
  <si>
    <t>https://kimotostudioaaa.netlify.app/08016a</t>
  </si>
  <si>
    <r>
      <rPr>
        <color rgb="FF1155CC"/>
        <u/>
      </rPr>
      <t>https://kimotostudioaaa.netlify.app/08017a</t>
    </r>
  </si>
  <si>
    <r>
      <rPr>
        <color rgb="FF1155CC"/>
        <u/>
      </rPr>
      <t>https://kimotostudioaaa.netlify.app/08018a</t>
    </r>
  </si>
  <si>
    <r>
      <rPr>
        <color rgb="FF1155CC"/>
        <u/>
      </rPr>
      <t>https://kimotostudioaaa.netlify.app/08019a</t>
    </r>
  </si>
  <si>
    <r>
      <rPr>
        <color rgb="FF1155CC"/>
        <u/>
      </rPr>
      <t>https://kimotostudioaaa.netlify.app/08020a</t>
    </r>
  </si>
  <si>
    <t>https://kimotostudioaaa.netlify.app/08021a</t>
  </si>
  <si>
    <r>
      <rPr>
        <color rgb="FF1155CC"/>
        <u/>
      </rPr>
      <t>https://kimotostudioaaa.netlify.app/08022a</t>
    </r>
  </si>
  <si>
    <r>
      <rPr>
        <color rgb="FF1155CC"/>
        <u/>
      </rPr>
      <t>https://kimotostudioaaa.netlify.app/08023a</t>
    </r>
  </si>
  <si>
    <r>
      <rPr>
        <color rgb="FF1155CC"/>
        <u/>
      </rPr>
      <t>https://kimotostudioaaa.netlify.app/08024a</t>
    </r>
  </si>
  <si>
    <r>
      <rPr>
        <color rgb="FF1155CC"/>
        <u/>
      </rPr>
      <t>https://kimotostudioaaa.netlify.app/08025a</t>
    </r>
  </si>
  <si>
    <r>
      <rPr>
        <color rgb="FF1155CC"/>
        <u/>
      </rPr>
      <t>https://kimotostudioaaa.netlify.app/08026a</t>
    </r>
  </si>
  <si>
    <r>
      <rPr>
        <color rgb="FF1155CC"/>
        <u/>
      </rPr>
      <t>https://kimotostudioaaa.netlify.app/08027a</t>
    </r>
  </si>
  <si>
    <r>
      <rPr>
        <color rgb="FF1155CC"/>
        <u/>
      </rPr>
      <t>https://kimotostudioaaa.netlify.app/08028a</t>
    </r>
  </si>
  <si>
    <r>
      <rPr>
        <color rgb="FF1155CC"/>
        <u/>
      </rPr>
      <t>https://kimotostudioaaa.netlify.app/08029a</t>
    </r>
  </si>
  <si>
    <r>
      <rPr>
        <color rgb="FF1155CC"/>
        <u/>
      </rPr>
      <t>https://kimotostudioaaa.netlify.app/08030a</t>
    </r>
  </si>
  <si>
    <r>
      <rPr>
        <color rgb="FF1155CC"/>
        <u/>
      </rPr>
      <t>https://kimotostudioaaa.netlify.app/08031a</t>
    </r>
  </si>
  <si>
    <r>
      <rPr>
        <color rgb="FF1155CC"/>
        <u/>
      </rPr>
      <t>https://kimotostudioaaa.netlify.app/08032a</t>
    </r>
  </si>
  <si>
    <r>
      <rPr>
        <color rgb="FF1155CC"/>
        <u/>
      </rPr>
      <t>https://kimotostudioaaa.netlify.app/08033a</t>
    </r>
  </si>
  <si>
    <r>
      <rPr>
        <color rgb="FF1155CC"/>
        <u/>
      </rPr>
      <t>https://kimotostudioaaa.netlify.app/08034a</t>
    </r>
  </si>
  <si>
    <r>
      <rPr>
        <color rgb="FF1155CC"/>
        <u/>
      </rPr>
      <t>https://kimotostudioaaa.netlify.app/08035a</t>
    </r>
  </si>
  <si>
    <r>
      <rPr>
        <color rgb="FF1155CC"/>
        <u/>
      </rPr>
      <t>https://kimotostudioaaa.netlify.app/08036a</t>
    </r>
  </si>
  <si>
    <r>
      <rPr>
        <color rgb="FF1155CC"/>
        <u/>
      </rPr>
      <t>https://kimotostudioaaa.netlify.app/08037a</t>
    </r>
  </si>
  <si>
    <r>
      <rPr>
        <color rgb="FF1155CC"/>
        <u/>
      </rPr>
      <t>https://kimotostudioaaa.netlify.app/08038a</t>
    </r>
  </si>
  <si>
    <r>
      <rPr>
        <color rgb="FF1155CC"/>
        <u/>
      </rPr>
      <t>https://kimotostudioaaa.netlify.app/08039a</t>
    </r>
  </si>
  <si>
    <r>
      <rPr>
        <color rgb="FF1155CC"/>
        <u/>
      </rPr>
      <t>https://kimotostudioaaa.netlify.app/08040a</t>
    </r>
  </si>
  <si>
    <r>
      <rPr>
        <color rgb="FF1155CC"/>
        <u/>
      </rPr>
      <t>https://kimotostudioaaa.netlify.app/08041a</t>
    </r>
  </si>
  <si>
    <r>
      <rPr>
        <color rgb="FF1155CC"/>
        <u/>
      </rPr>
      <t>https://kimotostudioaaa.netlify.app/08042a</t>
    </r>
  </si>
  <si>
    <r>
      <rPr>
        <color rgb="FF1155CC"/>
        <u/>
      </rPr>
      <t>https://kimotostudioaaa.netlify.app/08043a</t>
    </r>
  </si>
  <si>
    <r>
      <rPr>
        <color rgb="FF1155CC"/>
        <u/>
      </rPr>
      <t>https://kimotostudioaaa.netlify.app/08044a</t>
    </r>
  </si>
  <si>
    <r>
      <rPr>
        <color rgb="FF1155CC"/>
        <u/>
      </rPr>
      <t>https://kimotostudioaaa.netlify.app/08045a</t>
    </r>
  </si>
  <si>
    <r>
      <rPr>
        <color rgb="FF1155CC"/>
        <u/>
      </rPr>
      <t>https://kimotostudioaaa.netlify.app/08046a</t>
    </r>
  </si>
  <si>
    <r>
      <rPr>
        <color rgb="FF1155CC"/>
        <u/>
      </rPr>
      <t>https://kimotostudioaaa.netlify.app/08047a</t>
    </r>
  </si>
  <si>
    <r>
      <rPr>
        <color rgb="FF1155CC"/>
        <u/>
      </rPr>
      <t>https://kimotostudioaaa.netlify.app/08048a</t>
    </r>
  </si>
  <si>
    <r>
      <rPr>
        <color rgb="FF1155CC"/>
        <u/>
      </rPr>
      <t>https://kimotostudioaaa.netlify.app/08049a</t>
    </r>
  </si>
  <si>
    <r>
      <rPr>
        <color rgb="FF1155CC"/>
        <u/>
      </rPr>
      <t>https://kimotostudioaaa.netlify.app/08050a</t>
    </r>
  </si>
  <si>
    <r>
      <rPr>
        <color rgb="FF1155CC"/>
        <u/>
      </rPr>
      <t>https://kimotostudioaaa.netlify.app/08051a</t>
    </r>
  </si>
  <si>
    <r>
      <rPr>
        <color rgb="FF1155CC"/>
        <u/>
      </rPr>
      <t>https://kimotostudioaaa.netlify.app/08052a</t>
    </r>
  </si>
  <si>
    <r>
      <rPr>
        <color rgb="FF1155CC"/>
        <u/>
      </rPr>
      <t>https://kimotostudioaaa.netlify.app/08053a</t>
    </r>
  </si>
  <si>
    <r>
      <rPr>
        <color rgb="FF1155CC"/>
        <u/>
      </rPr>
      <t>https://kimotostudioaaa.netlify.app/08054a</t>
    </r>
  </si>
  <si>
    <r>
      <rPr>
        <color rgb="FF1155CC"/>
        <u/>
      </rPr>
      <t>https://kimotostudioaaa.netlify.app/08055a</t>
    </r>
  </si>
  <si>
    <r>
      <rPr>
        <color rgb="FF1155CC"/>
        <u/>
      </rPr>
      <t>https://kimotostudioaaa.netlify.app/08056a</t>
    </r>
  </si>
  <si>
    <r>
      <rPr>
        <color rgb="FF1155CC"/>
        <u/>
      </rPr>
      <t>https://kimotostudioaaa.netlify.app/08057a</t>
    </r>
  </si>
  <si>
    <r>
      <rPr>
        <color rgb="FF1155CC"/>
        <u/>
      </rPr>
      <t>https://kimotostudioaaa.netlify.app/08058a</t>
    </r>
  </si>
  <si>
    <r>
      <rPr>
        <color rgb="FF1155CC"/>
        <u/>
      </rPr>
      <t>https://kimotostudioaaa.netlify.app/08059a</t>
    </r>
  </si>
  <si>
    <r>
      <rPr>
        <color rgb="FF1155CC"/>
        <u/>
      </rPr>
      <t>https://kimotostudioaaa.netlify.app/08060a</t>
    </r>
  </si>
  <si>
    <r>
      <rPr>
        <color rgb="FF1155CC"/>
        <u/>
      </rPr>
      <t>https://kimotostudioaaa.netlify.app/08061a</t>
    </r>
  </si>
  <si>
    <r>
      <rPr>
        <color rgb="FF1155CC"/>
        <u/>
      </rPr>
      <t>https://kimotostudioaaa.netlify.app/08062a</t>
    </r>
  </si>
  <si>
    <r>
      <rPr>
        <color rgb="FF1155CC"/>
        <u/>
      </rPr>
      <t>https://kimotostudioaaa.netlify.app/08063a</t>
    </r>
  </si>
  <si>
    <r>
      <rPr>
        <color rgb="FF1155CC"/>
        <u/>
      </rPr>
      <t>https://kimotostudioaaa.netlify.app/08064a</t>
    </r>
  </si>
  <si>
    <r>
      <rPr>
        <color rgb="FF1155CC"/>
        <u/>
      </rPr>
      <t>https://kimotostudioaaa.netlify.app/08065a</t>
    </r>
  </si>
  <si>
    <r>
      <rPr>
        <color rgb="FF1155CC"/>
        <u/>
      </rPr>
      <t>https://kimotostudioaaa.netlify.app/08066a</t>
    </r>
  </si>
  <si>
    <r>
      <rPr>
        <color rgb="FF1155CC"/>
        <u/>
      </rPr>
      <t>https://kimotostudioaaa.netlify.app/08067a</t>
    </r>
  </si>
  <si>
    <r>
      <rPr>
        <color rgb="FF1155CC"/>
        <u/>
      </rPr>
      <t>https://kimotostudioaaa.netlify.app/08068a</t>
    </r>
  </si>
  <si>
    <r>
      <rPr>
        <color rgb="FF1155CC"/>
        <u/>
      </rPr>
      <t>https://kimotostudioaaa.netlify.app/08069a</t>
    </r>
  </si>
  <si>
    <r>
      <rPr>
        <color rgb="FF1155CC"/>
        <u/>
      </rPr>
      <t>https://kimotostudioaaa.netlify.app/08070a</t>
    </r>
  </si>
  <si>
    <r>
      <rPr>
        <color rgb="FF1155CC"/>
        <u/>
      </rPr>
      <t>https://kimotostudioaaa.netlify.app/08071a</t>
    </r>
  </si>
  <si>
    <r>
      <rPr>
        <color rgb="FF1155CC"/>
        <u/>
      </rPr>
      <t>https://kimotostudioaaa.netlify.app/08072a</t>
    </r>
  </si>
  <si>
    <r>
      <rPr>
        <color rgb="FF1155CC"/>
        <u/>
      </rPr>
      <t>https://kimotostudioaaa.netlify.app/08073a</t>
    </r>
  </si>
  <si>
    <r>
      <rPr>
        <color rgb="FF1155CC"/>
        <u/>
      </rPr>
      <t>https://kimotostudioaaa.netlify.app/08074a</t>
    </r>
  </si>
  <si>
    <r>
      <rPr>
        <color rgb="FF1155CC"/>
        <u/>
      </rPr>
      <t>https://kimotostudioaaa.netlify.app/08075a</t>
    </r>
  </si>
  <si>
    <r>
      <rPr>
        <color rgb="FF1155CC"/>
        <u/>
      </rPr>
      <t>https://kimotostudioaaa.netlify.app/08076a</t>
    </r>
  </si>
  <si>
    <r>
      <rPr>
        <color rgb="FF1155CC"/>
        <u/>
      </rPr>
      <t>https://kimotostudioaaa.netlify.app/08077a</t>
    </r>
  </si>
  <si>
    <r>
      <rPr>
        <color rgb="FF1155CC"/>
        <u/>
      </rPr>
      <t>https://kimotostudioaaa.netlify.app/08078a</t>
    </r>
  </si>
  <si>
    <r>
      <rPr>
        <color rgb="FF1155CC"/>
        <u/>
      </rPr>
      <t>https://kimotostudioaaa.netlify.app/08079a</t>
    </r>
  </si>
  <si>
    <r>
      <rPr>
        <color rgb="FF1155CC"/>
        <u/>
      </rPr>
      <t>https://kimotostudioaaa.netlify.app/08080a</t>
    </r>
  </si>
  <si>
    <r>
      <rPr>
        <color rgb="FF1155CC"/>
        <u/>
      </rPr>
      <t>https://kimotostudioaaa.netlify.app/08081a</t>
    </r>
  </si>
  <si>
    <r>
      <rPr>
        <color rgb="FF1155CC"/>
        <u/>
      </rPr>
      <t>https://kimotostudioaaa.netlify.app/08082a</t>
    </r>
  </si>
  <si>
    <r>
      <rPr>
        <color rgb="FF1155CC"/>
        <u/>
      </rPr>
      <t>https://kimotostudioaaa.netlify.app/08083a</t>
    </r>
  </si>
  <si>
    <r>
      <rPr>
        <color rgb="FF1155CC"/>
        <u/>
      </rPr>
      <t>https://kimotostudioaaa.netlify.app/08084a</t>
    </r>
  </si>
  <si>
    <r>
      <rPr>
        <color rgb="FF1155CC"/>
        <u/>
      </rPr>
      <t>https://kimotostudioaaa.netlify.app/08085a</t>
    </r>
  </si>
  <si>
    <r>
      <rPr>
        <color rgb="FF1155CC"/>
        <u/>
      </rPr>
      <t>https://kimotostudioaaa.netlify.app/08086a</t>
    </r>
  </si>
  <si>
    <r>
      <rPr>
        <color rgb="FF1155CC"/>
        <u/>
      </rPr>
      <t>https://kimotostudioaaa.netlify.app/08087a</t>
    </r>
  </si>
  <si>
    <r>
      <rPr>
        <color rgb="FF1155CC"/>
        <u/>
      </rPr>
      <t>https://kimotostudioaaa.netlify.app/08088a</t>
    </r>
  </si>
  <si>
    <r>
      <rPr>
        <color rgb="FF1155CC"/>
        <u/>
      </rPr>
      <t>https://kimotostudioaaa.netlify.app/08089a</t>
    </r>
  </si>
  <si>
    <r>
      <rPr>
        <color rgb="FF1155CC"/>
        <u/>
      </rPr>
      <t>https://kimotostudioaaa.netlify.app/08090a</t>
    </r>
  </si>
  <si>
    <r>
      <rPr>
        <color rgb="FF1155CC"/>
        <u/>
      </rPr>
      <t>https://kimotostudioaaa.netlify.app/08091a</t>
    </r>
  </si>
  <si>
    <r>
      <rPr>
        <color rgb="FF1155CC"/>
        <u/>
      </rPr>
      <t>https://kimotostudioaaa.netlify.app/08092a</t>
    </r>
  </si>
  <si>
    <r>
      <rPr>
        <color rgb="FF1155CC"/>
        <u/>
      </rPr>
      <t>https://kimotostudioaaa.netlify.app/08093a</t>
    </r>
  </si>
  <si>
    <r>
      <rPr>
        <color rgb="FF1155CC"/>
        <u/>
      </rPr>
      <t>https://kimotostudioaaa.netlify.app/08094a</t>
    </r>
  </si>
  <si>
    <r>
      <rPr>
        <color rgb="FF1155CC"/>
        <u/>
      </rPr>
      <t>https://kimotostudioaaa.netlify.app/08095a</t>
    </r>
  </si>
  <si>
    <r>
      <rPr>
        <color rgb="FF1155CC"/>
        <u/>
      </rPr>
      <t>https://kimotostudioaaa.netlify.app/08096a</t>
    </r>
  </si>
  <si>
    <r>
      <rPr>
        <color rgb="FF1155CC"/>
        <u/>
      </rPr>
      <t>https://kimotostudioaaa.netlify.app/08097a</t>
    </r>
  </si>
  <si>
    <r>
      <rPr>
        <color rgb="FF1155CC"/>
        <u/>
      </rPr>
      <t>https://kimotostudioaaa.netlify.app/08098a</t>
    </r>
  </si>
  <si>
    <r>
      <rPr>
        <color rgb="FF1155CC"/>
        <u/>
      </rPr>
      <t>https://kimotostudioaaa.netlify.app/08099a</t>
    </r>
  </si>
  <si>
    <r>
      <rPr>
        <color rgb="FF1155CC"/>
        <u/>
      </rPr>
      <t>https://kimotostudioaaa.netlify.app/08100a</t>
    </r>
  </si>
  <si>
    <t>店舗名</t>
  </si>
  <si>
    <t>判定</t>
  </si>
  <si>
    <t>ステータス0,1,2,3</t>
  </si>
  <si>
    <t>ステータスのとこ0にしといて(0が見つけただけで1がメール送った2が返信あり、3が契約済み、4で提供まで完了って感じで)</t>
  </si>
  <si>
    <t>ハーモニースペース</t>
  </si>
  <si>
    <t>△</t>
  </si>
  <si>
    <t>https://harmonyspace.life.coocan.jp</t>
  </si>
  <si>
    <t>ここはwebサイト運営に必要なとこなので空けてていいです</t>
  </si>
  <si>
    <t>アロマテラピー&amp;ハワイアンフラOHANA</t>
  </si>
  <si>
    <t>makiko@ohana.st</t>
  </si>
  <si>
    <t>https://www.makiko-love.com/</t>
  </si>
  <si>
    <t>カウンセリングルームインナーヴォイス</t>
  </si>
  <si>
    <t>therapy.innervoice@gmail.com</t>
  </si>
  <si>
    <t>http://hakomitherapy.web.fc2.com/sub3.html</t>
  </si>
  <si>
    <t>昴の木</t>
  </si>
  <si>
    <t>info@subarunoki.com</t>
  </si>
  <si>
    <t>http://www.subarunoki.com/</t>
  </si>
  <si>
    <t>天使庵</t>
  </si>
  <si>
    <t>Kenhorikawa2007@yahoo.co.jp</t>
  </si>
  <si>
    <t>https://tenshian.jimdofree.com/</t>
  </si>
  <si>
    <t>ヒーリングｓｈｏｐ&amp;パワーストーン
バリハイ</t>
  </si>
  <si>
    <t>peace@balihai-4rainbow.com</t>
  </si>
  <si>
    <t>http://www.balihai-4rainbow.com/index.htm</t>
  </si>
  <si>
    <t>占い・ヒーリングサロン
SHINRA－森羅－</t>
  </si>
  <si>
    <t>shinra_session@i.softbank.jp</t>
  </si>
  <si>
    <t>http://shinra33.jp/</t>
  </si>
  <si>
    <t>光のサロン</t>
  </si>
  <si>
    <t>office@light.st</t>
  </si>
  <si>
    <t>https://light.st/</t>
  </si>
  <si>
    <t>Spirit Hire Artist Malama Crystal</t>
  </si>
  <si>
    <t>malama6crystal@gmail.com</t>
  </si>
  <si>
    <t>https://lit.link/32961a2d-c4f1-4bd6-99e6-044af81fabf7</t>
  </si>
  <si>
    <t>Tetuko Healing Salon</t>
  </si>
  <si>
    <t>hirochance111@yahoo.co.jp</t>
  </si>
  <si>
    <t>https://tetukohealingsalon.com/index.html</t>
  </si>
  <si>
    <t>Rose Aphrodite</t>
  </si>
  <si>
    <t>http://www.roseaphrodite.com/contact.html</t>
  </si>
  <si>
    <t>http://www.roseaphrodite.com/index.php</t>
  </si>
  <si>
    <t>Slange(スランジュ）</t>
  </si>
  <si>
    <t>miyuki3231115@gmail.com</t>
  </si>
  <si>
    <t>https://slange-okazaki-m.jimdofree.com/</t>
  </si>
  <si>
    <t>マヤ暦サロンCib 凜星(riho)</t>
  </si>
  <si>
    <t>yakko-cherry-82@docomo.ne.jp</t>
  </si>
  <si>
    <t>https://www2.hp-ez.com/hp/mayacib/page1</t>
  </si>
  <si>
    <t>占い喫酒場パーム</t>
  </si>
  <si>
    <t>https://www.instagram.com/palmmomoko?igsh=MTUzZjUwMzFtY2lsaA==</t>
  </si>
  <si>
    <t>占いとカウンセリングの店COCO</t>
  </si>
  <si>
    <t>coco819-taos＠docomo.ne.jp</t>
  </si>
  <si>
    <t>https://coco.sapr.jp/</t>
  </si>
  <si>
    <t>カウンセリングルーム札幌スマイル</t>
  </si>
  <si>
    <t>kaorin.smile99@gmail.com</t>
  </si>
  <si>
    <t>https://kaorin-smile.com/2026/01/</t>
  </si>
  <si>
    <t>ネイチャーヒーリングサロン～星の香り～</t>
  </si>
  <si>
    <t>https://hoshino-kaori.com/menu/#i-2</t>
  </si>
  <si>
    <t>https://hoshino-kaori.com/</t>
  </si>
  <si>
    <t>ヒーリングセラフ</t>
  </si>
  <si>
    <t>https://www.healing-seraph.com/inquiry</t>
  </si>
  <si>
    <t>https://www.healing-seraph.com/</t>
  </si>
  <si>
    <t>はーとふるサロン【出張専門ヒーリングサロン】</t>
  </si>
  <si>
    <t>https://heartfulai.wixsite.com/salon/contact</t>
  </si>
  <si>
    <t>https://heartfulai.wixsite.com/salon</t>
  </si>
  <si>
    <t>ホリスティックサロン ぴりかイソラ</t>
  </si>
  <si>
    <t>https://isola88.jimdofree.com/%E3%81%8A%E5%95%8F%E3%81%84%E5%90%88%E3%82%8F%E3%81%9B/</t>
  </si>
  <si>
    <t>https://isola88.jimdofree.com/</t>
  </si>
  <si>
    <t>アロマ&amp;ボディヒーリング ティダアヤ</t>
  </si>
  <si>
    <t>https://tida-aya.hp.peraichi.com/otoiawase</t>
  </si>
  <si>
    <t>https://tidaya.com/</t>
  </si>
  <si>
    <t>ヒーリングサロン朝</t>
  </si>
  <si>
    <t>https://ws.formzu.net/sfgen/S26435976/</t>
  </si>
  <si>
    <t>https://sites.google.com/view/healingsalonasa/</t>
  </si>
  <si>
    <t>La malama</t>
  </si>
  <si>
    <t>https://la-malama.jp/contact</t>
  </si>
  <si>
    <t>https://la-malama.jp/</t>
  </si>
  <si>
    <t>body mental salon TAKEDA</t>
  </si>
  <si>
    <t>uzuzuz8@gmail.com</t>
  </si>
  <si>
    <t>https://www.mamal888.com/?utm_source=google&amp;utm_medium=maps</t>
  </si>
  <si>
    <t>癒し処 Harmony</t>
  </si>
  <si>
    <t>https://www.harmony-6.com/%E3%81%94%E4%BA%88%E7%B4%84-%E3%81%8A%E5%95%8F%E5%90%88%E3%82%8F%E3%81%9B/</t>
  </si>
  <si>
    <t>https://www.harmony-6.com/</t>
  </si>
  <si>
    <t>癒し手 精體稀煌（いやして せいたいきこう）</t>
  </si>
  <si>
    <t>iyashite.seitaikikou@gmail.com</t>
  </si>
  <si>
    <t>https://www.iyashite-seitaikikou.com/</t>
  </si>
  <si>
    <t>ヒーリングサロンさきはな</t>
  </si>
  <si>
    <t>salon.saki.hana@gmail.com</t>
  </si>
  <si>
    <t>https://salonsakihana.amebaownd.com/</t>
  </si>
  <si>
    <t>Happy∞Smile</t>
  </si>
  <si>
    <t>hapi_suma_25@yahoo.co.jp</t>
  </si>
  <si>
    <t>https://happy8smile25.crayonsite.com/</t>
  </si>
  <si>
    <t>癒しのサロン ウイングハート</t>
  </si>
  <si>
    <t>https://wingheart-hand.crayonsite.com/#cbox-open</t>
  </si>
  <si>
    <t>https://wingheart-hand.crayonsite.com/</t>
  </si>
  <si>
    <t>子宮ケア専門サロン Essence</t>
  </si>
  <si>
    <t>lucky.star83716@gmail.com</t>
  </si>
  <si>
    <t>https://loving-message716.jimdofree.com/%E3%83%A1%E3%83%8B%E3%83%A5%E3%83%BC/</t>
  </si>
  <si>
    <t>ヘナ＆ヒーリングオクタキ</t>
  </si>
  <si>
    <t>https://www.okutaki.com/form.php</t>
  </si>
  <si>
    <t>https://www.okutaki.com/</t>
  </si>
  <si>
    <t>ローザ・ジャルディーノ・オプラ</t>
  </si>
  <si>
    <t>aqua-jpn@bz03.plala.or.jp</t>
  </si>
  <si>
    <t>https://rosagiardinoopla.jimdofree.com/</t>
  </si>
  <si>
    <t>女性サロン　こころ</t>
  </si>
  <si>
    <t>tensi.cocoa44@gmail.com</t>
  </si>
  <si>
    <t>https://www.cocoro.pink/</t>
  </si>
  <si>
    <t>デトックスサロン花の樹</t>
  </si>
  <si>
    <t>https://cs60-hananoki.jimdosite.com/%E3%81%8A%E5%95%8F%E3%81%84%E5%90%88%E3%82%8F%E3%81%9B/</t>
  </si>
  <si>
    <t>https://cs60-hananoki.jimdosite.com/</t>
  </si>
  <si>
    <t>URLリンク</t>
  </si>
  <si>
    <t>デモURLリンク</t>
  </si>
  <si>
    <t>ID</t>
  </si>
  <si>
    <t>パスワード</t>
  </si>
  <si>
    <t>ステータス0.1.2</t>
  </si>
  <si>
    <t>隠れ家Salon Ailes d’ange</t>
  </si>
  <si>
    <t>https://smart.reservestock.jp/inquiry_form/inquiry_form/142983</t>
  </si>
  <si>
    <t>https://smart.reservestock.jp/58861</t>
  </si>
  <si>
    <t>ハンドヒーリングアフェクションともゑ塾</t>
  </si>
  <si>
    <t>https://r.goope.jp/hha-okamura/contact</t>
  </si>
  <si>
    <t>https://r.goope.jp/hha-okamura/</t>
  </si>
  <si>
    <t>ヒーリングルームQoricanchaコリカンチャ</t>
  </si>
  <si>
    <t>https://www.qoricancha.com/contact</t>
  </si>
  <si>
    <t>https://www.qoricancha.com/</t>
  </si>
  <si>
    <t>✩STARSEED✩ヒーリングサロン・スクール</t>
  </si>
  <si>
    <t>http://www.starseed777.jp/contact/page1.html</t>
  </si>
  <si>
    <t>http://www.starseed777.jp/</t>
  </si>
  <si>
    <t>school of lights</t>
  </si>
  <si>
    <t>https://www.schooloflights.net/%E3%81%8A%E5%95%8F%E5%90%88%E3%82%8F%E3%81%9B-%E3%81%8A%E7%94%B3%E8%BE%BC%E3%81%BF-%E3%82%A2%E3%82%AF%E3%82%BB%E3%82%B9/</t>
  </si>
  <si>
    <t>https://www.schooloflights.net</t>
  </si>
  <si>
    <t>salon MAKIA</t>
  </si>
  <si>
    <t>https://salon-makia-55.crayonsite.net/p/3/#cbox-open</t>
  </si>
  <si>
    <t>https://salon-makia-55.crayonsite.net/</t>
  </si>
  <si>
    <t>スピリチュアル・ヒーリングサロン空扉</t>
  </si>
  <si>
    <t>https://www.kuuto.website/%E3%81%8A%E5%95%8F%E5%90%88%E3%81%9B/</t>
  </si>
  <si>
    <t>https://www.kuuto.website/</t>
  </si>
  <si>
    <t>ソウルトータルヒーリング 薔薇の女神ヒーリングサロン</t>
  </si>
  <si>
    <t>goddessrose.info@gmail.com</t>
  </si>
  <si>
    <t>https://goddessrose.cpv.jp/</t>
  </si>
  <si>
    <t>スペース天空</t>
  </si>
  <si>
    <t>https://www.space-tencoo.com/%E3%81%94%E4%BA%88%E7%B4%84/%E3%81%8A%E5%95%8F%E3%81%84%E5%90%88%E3%82%8F%E3%81%9B/</t>
  </si>
  <si>
    <t>https://www.space-tencoo.com/</t>
  </si>
  <si>
    <t>HSP Healing Cafe カクレミノ家 名古屋大須店</t>
  </si>
  <si>
    <t>info@kakureminoya.com</t>
  </si>
  <si>
    <t>https://kakureminoya.com/shop-info/aichi/oosu/</t>
  </si>
  <si>
    <t>氣流しトータルバランス仁屋</t>
  </si>
  <si>
    <t>jinya297@gmail.com</t>
  </si>
  <si>
    <t>https://www.jinya-wbn.com/</t>
  </si>
  <si>
    <t>癒しのサロンヘルメス</t>
  </si>
  <si>
    <t>https://www.healing-angel.com/contact/</t>
  </si>
  <si>
    <t>https://www.healing-angel.com/</t>
  </si>
  <si>
    <t>ナチュラルヒーリング＆スクール Angel PIg（エンジェル ピッグ）</t>
  </si>
  <si>
    <t>https://angel-pig-2.jimdosite.com/%E3%81%8A%E5%95%8F%E3%81%84%E5%90%88%E3%82%8F%E3%81%9B/</t>
  </si>
  <si>
    <t>https://angel-pig-2.jimdosite.com/</t>
  </si>
  <si>
    <t>サウンドヒーリングサロン『PurFleuRe』</t>
  </si>
  <si>
    <t>https://purfleure.care/reservation</t>
  </si>
  <si>
    <t>https://purfleure.care/</t>
  </si>
  <si>
    <t>癒しの宮殿 Flower of Life占い＆ヒーリング｜愛知 安城</t>
  </si>
  <si>
    <t>https://ruka9flower.sakura.ne.jp/contact.php</t>
  </si>
  <si>
    <t>http://www.ruka9flower.com/</t>
  </si>
  <si>
    <t>ヒーリングサロンBlue-ray</t>
  </si>
  <si>
    <t>https://love-and-joy.crayonsite.net/p/2/#cbox-open</t>
  </si>
  <si>
    <t>https://love-and-joy.crayonsite.net/</t>
  </si>
  <si>
    <t>ヒーリングサロン♾️9STARS♾️</t>
  </si>
  <si>
    <t>https://www.instagram.com/8_9stars_8?igsh=OXdxdXY3ZnllN3Jj</t>
  </si>
  <si>
    <t>https://ameblo.jp/8-9star-8/?utm_source=ig&amp;utm_medium=social&amp;utm_content=link_in_bio&amp;fbclid=PAb21jcAPdF6hleHRuA2FlbQIxMQBzcnRjBmFwcF9pZA81NjcwNjczNDMzNTI0MjcAAaelJQU9Q9ApN1A0qode1dDAk3zMpcHnyBJ307kPTm7z2hW2Ne020q8E70q__w_aem_7efc9vw3UMUiiqn0tVjCYw</t>
  </si>
  <si>
    <t>Reborn Salon COCORO R</t>
  </si>
  <si>
    <t>https://sinkyu-cocoro.com/%e3%81%94%e4%ba%88%e7%b4%84/</t>
  </si>
  <si>
    <t>https://sinkyu-cocoro.com/</t>
  </si>
  <si>
    <t>アルファセラピー研究所 名古屋</t>
  </si>
  <si>
    <t>http://www.a-t-i.jp/inquiry.html</t>
  </si>
  <si>
    <t>http://www.a-t-i.jp/index.html</t>
  </si>
  <si>
    <t>星のひかり カウンセリング・ヒーリングサロン</t>
  </si>
  <si>
    <t>https://form1ssl.fc2.com/form/?id=c58f51604f5f3438</t>
  </si>
  <si>
    <t>https://hoshinohikari.sakura.ne.jp/index.html</t>
  </si>
  <si>
    <t>ドナメア ~dans-la-mer~リラクゼーションサロン</t>
  </si>
  <si>
    <t>https://dans-la-mer.jp/contact/</t>
  </si>
  <si>
    <t>https://dans-la-mer.jp/</t>
  </si>
  <si>
    <t>音叉ヒーリングサロン音心庵（つながりの杜レンタルスペースB)</t>
  </si>
  <si>
    <t>wakacreate@gmail.com</t>
  </si>
  <si>
    <t>https://my-site-100950-102273.square.site/</t>
  </si>
  <si>
    <t>Sol Lights Tuning Labo
Nagoya</t>
  </si>
  <si>
    <t>sol_lights_labo.nagoya@jindo.company</t>
  </si>
  <si>
    <t>https://www.sollights-labo.com/</t>
  </si>
  <si>
    <t>ワイワイオフィス心と身体の休憩室</t>
  </si>
  <si>
    <t>https://yyoffice-cs60.com/contact</t>
  </si>
  <si>
    <t>https://yyoffice-cs60.com/</t>
  </si>
  <si>
    <t>心と身体の相談 剛 千玉 『ココロとカラダのソウダン ごう せんぎょく』</t>
  </si>
  <si>
    <t>https://xn--20190501-up1m808b.net/page-37/</t>
  </si>
  <si>
    <t>https://xn--20190501-up1m808b.net/</t>
  </si>
  <si>
    <t>占い＆体のケア・ヒーリングハウス フルフルwith野田氣術整体専門学院</t>
  </si>
  <si>
    <t>https://www.healinghouse-fullfull.com/%E3%81%94%E4%BA%88%E7%B4%84-%E3%81%8A%E5%95%8F%E3%81%84%E5%90%88%E3%82%8F%E3%81%9B/%E3%83%A1%E3%83%BC%E3%83%AB%E3%81%A7%E3%81%AE%E3%81%94%E4%BA%88%E7%B4%84-%E3%81%8A%E5%95%8F%E3%81%84%E5%90%88%E3%82%8F%E3%81%9B/</t>
  </si>
  <si>
    <t>https://www.healinghouse-fullfull.com/</t>
  </si>
  <si>
    <t>占い整体サロン 癒し空間そら</t>
  </si>
  <si>
    <t>eiji1975210@gmail.com</t>
  </si>
  <si>
    <t>https://eiji1975210.jimdofree.com/</t>
  </si>
  <si>
    <t>癒しの館 ワンネス</t>
  </si>
  <si>
    <t>https://healing-oneness.com/sun/office/</t>
  </si>
  <si>
    <t>https://healing-oneness.com/sun/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</si>
</sst>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3.0"/>
      <color rgb="FFA36F80"/>
      <name val="Spinnaker"/>
    </font>
    <font>
      <b/>
      <sz val="18.0"/>
      <color rgb="FF333333"/>
      <name val="&quot;Kosugi Maru&quot;"/>
    </font>
    <font>
      <sz val="12.0"/>
      <color rgb="FF2E4D64"/>
      <name val="&quot;Kosugi Maru&quot;"/>
    </font>
    <font>
      <sz val="12.0"/>
      <color rgb="FF000000"/>
      <name val="&quot;Lucida Sans&quot;"/>
    </font>
    <font>
      <sz val="12.0"/>
      <color rgb="FF000000"/>
      <name val="&quot;Helvetica Neue&quot;"/>
    </font>
    <font>
      <u/>
      <color rgb="FF333333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DFDFD"/>
        <bgColor rgb="FFFDFDF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2" fontId="8" numFmtId="0" xfId="0" applyAlignment="1" applyFont="1">
      <alignment horizontal="left" readingOrder="0"/>
    </xf>
    <xf borderId="0" fillId="3" fontId="9" numFmtId="0" xfId="0" applyAlignment="1" applyFill="1" applyFont="1">
      <alignment readingOrder="0"/>
    </xf>
    <xf borderId="0" fillId="4" fontId="10" numFmtId="0" xfId="0" applyAlignment="1" applyFill="1" applyFont="1">
      <alignment readingOrder="0"/>
    </xf>
    <xf borderId="0" fillId="2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artfulai.wixsite.com/salon/contact" TargetMode="External"/><Relationship Id="rId190" Type="http://schemas.openxmlformats.org/officeDocument/2006/relationships/hyperlink" Target="https://kimotostudioaaa.netlify.app/08093a" TargetMode="External"/><Relationship Id="rId42" Type="http://schemas.openxmlformats.org/officeDocument/2006/relationships/hyperlink" Target="https://kimotostudioaaa.netlify.app/08018a" TargetMode="External"/><Relationship Id="rId41" Type="http://schemas.openxmlformats.org/officeDocument/2006/relationships/hyperlink" Target="https://heartfulai.wixsite.com/salon" TargetMode="External"/><Relationship Id="rId44" Type="http://schemas.openxmlformats.org/officeDocument/2006/relationships/hyperlink" Target="https://isola88.jimdofree.com/" TargetMode="External"/><Relationship Id="rId194" Type="http://schemas.openxmlformats.org/officeDocument/2006/relationships/hyperlink" Target="https://kimotostudioaaa.netlify.app/08097a" TargetMode="External"/><Relationship Id="rId43" Type="http://schemas.openxmlformats.org/officeDocument/2006/relationships/hyperlink" Target="https://isola88.jimdofree.com/%E3%81%8A%E5%95%8F%E3%81%84%E5%90%88%E3%82%8F%E3%81%9B/" TargetMode="External"/><Relationship Id="rId193" Type="http://schemas.openxmlformats.org/officeDocument/2006/relationships/hyperlink" Target="https://kimotostudioaaa.netlify.app/08096a" TargetMode="External"/><Relationship Id="rId46" Type="http://schemas.openxmlformats.org/officeDocument/2006/relationships/hyperlink" Target="https://tida-aya.hp.peraichi.com/otoiawase" TargetMode="External"/><Relationship Id="rId192" Type="http://schemas.openxmlformats.org/officeDocument/2006/relationships/hyperlink" Target="https://kimotostudioaaa.netlify.app/08095a" TargetMode="External"/><Relationship Id="rId45" Type="http://schemas.openxmlformats.org/officeDocument/2006/relationships/hyperlink" Target="https://kimotostudioaaa.netlify.app/08019a" TargetMode="External"/><Relationship Id="rId191" Type="http://schemas.openxmlformats.org/officeDocument/2006/relationships/hyperlink" Target="https://kimotostudioaaa.netlify.app/08094a" TargetMode="External"/><Relationship Id="rId48" Type="http://schemas.openxmlformats.org/officeDocument/2006/relationships/hyperlink" Target="https://kimotostudioaaa.netlify.app/08020a" TargetMode="External"/><Relationship Id="rId187" Type="http://schemas.openxmlformats.org/officeDocument/2006/relationships/hyperlink" Target="https://kimotostudioaaa.netlify.app/08090a" TargetMode="External"/><Relationship Id="rId47" Type="http://schemas.openxmlformats.org/officeDocument/2006/relationships/hyperlink" Target="https://tidaya.com/" TargetMode="External"/><Relationship Id="rId186" Type="http://schemas.openxmlformats.org/officeDocument/2006/relationships/hyperlink" Target="https://kimotostudioaaa.netlify.app/08089a" TargetMode="External"/><Relationship Id="rId185" Type="http://schemas.openxmlformats.org/officeDocument/2006/relationships/hyperlink" Target="https://kimotostudioaaa.netlify.app/08088a" TargetMode="External"/><Relationship Id="rId49" Type="http://schemas.openxmlformats.org/officeDocument/2006/relationships/hyperlink" Target="https://ws.formzu.net/sfgen/S26435976/" TargetMode="External"/><Relationship Id="rId184" Type="http://schemas.openxmlformats.org/officeDocument/2006/relationships/hyperlink" Target="https://kimotostudioaaa.netlify.app/08087a" TargetMode="External"/><Relationship Id="rId189" Type="http://schemas.openxmlformats.org/officeDocument/2006/relationships/hyperlink" Target="https://kimotostudioaaa.netlify.app/08092a" TargetMode="External"/><Relationship Id="rId188" Type="http://schemas.openxmlformats.org/officeDocument/2006/relationships/hyperlink" Target="https://kimotostudioaaa.netlify.app/08091a" TargetMode="External"/><Relationship Id="rId31" Type="http://schemas.openxmlformats.org/officeDocument/2006/relationships/hyperlink" Target="https://kimotostudioaaa.netlify.app/08014a" TargetMode="External"/><Relationship Id="rId30" Type="http://schemas.openxmlformats.org/officeDocument/2006/relationships/hyperlink" Target="https://coco.sapr.jp/" TargetMode="External"/><Relationship Id="rId33" Type="http://schemas.openxmlformats.org/officeDocument/2006/relationships/hyperlink" Target="https://kimotostudioaaa.netlify.app/08015a" TargetMode="External"/><Relationship Id="rId183" Type="http://schemas.openxmlformats.org/officeDocument/2006/relationships/hyperlink" Target="https://kimotostudioaaa.netlify.app/08086a" TargetMode="External"/><Relationship Id="rId32" Type="http://schemas.openxmlformats.org/officeDocument/2006/relationships/hyperlink" Target="https://kaorin-smile.com/2026/01/" TargetMode="External"/><Relationship Id="rId182" Type="http://schemas.openxmlformats.org/officeDocument/2006/relationships/hyperlink" Target="https://kimotostudioaaa.netlify.app/08085a" TargetMode="External"/><Relationship Id="rId35" Type="http://schemas.openxmlformats.org/officeDocument/2006/relationships/hyperlink" Target="https://hoshino-kaori.com/" TargetMode="External"/><Relationship Id="rId181" Type="http://schemas.openxmlformats.org/officeDocument/2006/relationships/hyperlink" Target="https://kimotostudioaaa.netlify.app/08084a" TargetMode="External"/><Relationship Id="rId34" Type="http://schemas.openxmlformats.org/officeDocument/2006/relationships/hyperlink" Target="https://hoshino-kaori.com/menu/" TargetMode="External"/><Relationship Id="rId180" Type="http://schemas.openxmlformats.org/officeDocument/2006/relationships/hyperlink" Target="https://healing-oneness.com/sun/" TargetMode="External"/><Relationship Id="rId37" Type="http://schemas.openxmlformats.org/officeDocument/2006/relationships/hyperlink" Target="https://www.healing-seraph.com/inquiry" TargetMode="External"/><Relationship Id="rId176" Type="http://schemas.openxmlformats.org/officeDocument/2006/relationships/hyperlink" Target="https://kimotostudioaaa.netlify.app/08082a" TargetMode="External"/><Relationship Id="rId36" Type="http://schemas.openxmlformats.org/officeDocument/2006/relationships/hyperlink" Target="https://kimotostudioaaa.netlify.app/08016a" TargetMode="External"/><Relationship Id="rId175" Type="http://schemas.openxmlformats.org/officeDocument/2006/relationships/hyperlink" Target="https://www.healinghouse-fullfull.com/" TargetMode="External"/><Relationship Id="rId39" Type="http://schemas.openxmlformats.org/officeDocument/2006/relationships/hyperlink" Target="https://kimotostudioaaa.netlify.app/08017a" TargetMode="External"/><Relationship Id="rId174" Type="http://schemas.openxmlformats.org/officeDocument/2006/relationships/hyperlink" Target="https://www.healinghouse-fullfull.com/%E3%81%94%E4%BA%88%E7%B4%84-%E3%81%8A%E5%95%8F%E3%81%84%E5%90%88%E3%82%8F%E3%81%9B/%E3%83%A1%E3%83%BC%E3%83%AB%E3%81%A7%E3%81%AE%E3%81%94%E4%BA%88%E7%B4%84-%E3%81%8A%E5%95%8F%E3%81%84%E5%90%88%E3%82%8F%E3%81%9B/" TargetMode="External"/><Relationship Id="rId38" Type="http://schemas.openxmlformats.org/officeDocument/2006/relationships/hyperlink" Target="https://www.healing-seraph.com/" TargetMode="External"/><Relationship Id="rId173" Type="http://schemas.openxmlformats.org/officeDocument/2006/relationships/hyperlink" Target="https://kimotostudioaaa.netlify.app/08081a" TargetMode="External"/><Relationship Id="rId179" Type="http://schemas.openxmlformats.org/officeDocument/2006/relationships/hyperlink" Target="https://healing-oneness.com/sun/office/" TargetMode="External"/><Relationship Id="rId178" Type="http://schemas.openxmlformats.org/officeDocument/2006/relationships/hyperlink" Target="https://kimotostudioaaa.netlify.app/08083a" TargetMode="External"/><Relationship Id="rId177" Type="http://schemas.openxmlformats.org/officeDocument/2006/relationships/hyperlink" Target="https://eiji1975210.jimdofree.com/" TargetMode="External"/><Relationship Id="rId20" Type="http://schemas.openxmlformats.org/officeDocument/2006/relationships/hyperlink" Target="https://kimotostudioaaa.netlify.app/08009a" TargetMode="External"/><Relationship Id="rId22" Type="http://schemas.openxmlformats.org/officeDocument/2006/relationships/hyperlink" Target="http://www.roseaphrodite.com/index.php" TargetMode="External"/><Relationship Id="rId21" Type="http://schemas.openxmlformats.org/officeDocument/2006/relationships/hyperlink" Target="http://www.roseaphrodite.com/contact.html" TargetMode="External"/><Relationship Id="rId24" Type="http://schemas.openxmlformats.org/officeDocument/2006/relationships/hyperlink" Target="https://slange-okazaki-m.jimdofree.com/" TargetMode="External"/><Relationship Id="rId23" Type="http://schemas.openxmlformats.org/officeDocument/2006/relationships/hyperlink" Target="https://kimotostudioaaa.netlify.app/08010a" TargetMode="External"/><Relationship Id="rId26" Type="http://schemas.openxmlformats.org/officeDocument/2006/relationships/hyperlink" Target="https://www2.hp-ez.com/hp/mayacib/page1" TargetMode="External"/><Relationship Id="rId25" Type="http://schemas.openxmlformats.org/officeDocument/2006/relationships/hyperlink" Target="https://kimotostudioaaa.netlify.app/08011a" TargetMode="External"/><Relationship Id="rId28" Type="http://schemas.openxmlformats.org/officeDocument/2006/relationships/hyperlink" Target="https://www.instagram.com/palmmomoko?igsh=MTUzZjUwMzFtY2lsaA==" TargetMode="External"/><Relationship Id="rId27" Type="http://schemas.openxmlformats.org/officeDocument/2006/relationships/hyperlink" Target="https://kimotostudioaaa.netlify.app/08012a" TargetMode="External"/><Relationship Id="rId29" Type="http://schemas.openxmlformats.org/officeDocument/2006/relationships/hyperlink" Target="https://kimotostudioaaa.netlify.app/08013a" TargetMode="External"/><Relationship Id="rId11" Type="http://schemas.openxmlformats.org/officeDocument/2006/relationships/hyperlink" Target="http://www.balihai-4rainbow.com/index.htm" TargetMode="External"/><Relationship Id="rId10" Type="http://schemas.openxmlformats.org/officeDocument/2006/relationships/hyperlink" Target="https://kimotostudioaaa.netlify.app/08004a" TargetMode="External"/><Relationship Id="rId13" Type="http://schemas.openxmlformats.org/officeDocument/2006/relationships/hyperlink" Target="http://shinra33.jp/" TargetMode="External"/><Relationship Id="rId12" Type="http://schemas.openxmlformats.org/officeDocument/2006/relationships/hyperlink" Target="https://kimotostudioaaa.netlify.app/08005a" TargetMode="External"/><Relationship Id="rId15" Type="http://schemas.openxmlformats.org/officeDocument/2006/relationships/hyperlink" Target="https://light.st/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kimotostudioaaa.netlify.app/08006a" TargetMode="External"/><Relationship Id="rId197" Type="http://schemas.openxmlformats.org/officeDocument/2006/relationships/hyperlink" Target="https://kimotostudioaaa.netlify.app/08100a" TargetMode="External"/><Relationship Id="rId17" Type="http://schemas.openxmlformats.org/officeDocument/2006/relationships/hyperlink" Target="https://lit.link/32961a2d-c4f1-4bd6-99e6-044af81fabf7" TargetMode="External"/><Relationship Id="rId196" Type="http://schemas.openxmlformats.org/officeDocument/2006/relationships/hyperlink" Target="https://kimotostudioaaa.netlify.app/08099a" TargetMode="External"/><Relationship Id="rId16" Type="http://schemas.openxmlformats.org/officeDocument/2006/relationships/hyperlink" Target="https://kimotostudioaaa.netlify.app/08007a" TargetMode="External"/><Relationship Id="rId195" Type="http://schemas.openxmlformats.org/officeDocument/2006/relationships/hyperlink" Target="https://kimotostudioaaa.netlify.app/08098a" TargetMode="External"/><Relationship Id="rId19" Type="http://schemas.openxmlformats.org/officeDocument/2006/relationships/hyperlink" Target="https://tetukohealingsalon.com/index.html" TargetMode="External"/><Relationship Id="rId18" Type="http://schemas.openxmlformats.org/officeDocument/2006/relationships/hyperlink" Target="https://kimotostudioaaa.netlify.app/08008a" TargetMode="External"/><Relationship Id="rId84" Type="http://schemas.openxmlformats.org/officeDocument/2006/relationships/hyperlink" Target="https://kimotostudioaaa.netlify.app/08037a" TargetMode="External"/><Relationship Id="rId83" Type="http://schemas.openxmlformats.org/officeDocument/2006/relationships/hyperlink" Target="https://kimotostudioaaa.netlify.app/08036a" TargetMode="External"/><Relationship Id="rId86" Type="http://schemas.openxmlformats.org/officeDocument/2006/relationships/hyperlink" Target="https://kimotostudioaaa.netlify.app/08039a" TargetMode="External"/><Relationship Id="rId85" Type="http://schemas.openxmlformats.org/officeDocument/2006/relationships/hyperlink" Target="https://kimotostudioaaa.netlify.app/08038a" TargetMode="External"/><Relationship Id="rId88" Type="http://schemas.openxmlformats.org/officeDocument/2006/relationships/hyperlink" Target="https://kimotostudioaaa.netlify.app/08041a" TargetMode="External"/><Relationship Id="rId150" Type="http://schemas.openxmlformats.org/officeDocument/2006/relationships/hyperlink" Target="https://ameblo.jp/8-9star-8/?utm_source=ig&amp;utm_medium=social&amp;utm_content=link_in_bio&amp;fbclid=PAb21jcAPdF6hleHRuA2FlbQIxMQBzcnRjBmFwcF9pZA81NjcwNjczNDMzNTI0MjcAAaelJQU9Q9ApN1A0qode1dDAk3zMpcHnyBJ307kPTm7z2hW2Ne020q8E70q__w_aem_7efc9vw3UMUiiqn0tVjCYw" TargetMode="External"/><Relationship Id="rId87" Type="http://schemas.openxmlformats.org/officeDocument/2006/relationships/hyperlink" Target="https://kimotostudioaaa.netlify.app/08040a" TargetMode="External"/><Relationship Id="rId89" Type="http://schemas.openxmlformats.org/officeDocument/2006/relationships/hyperlink" Target="https://kimotostudioaaa.netlify.app/08042a" TargetMode="External"/><Relationship Id="rId80" Type="http://schemas.openxmlformats.org/officeDocument/2006/relationships/hyperlink" Target="https://kimotostudioaaa.netlify.app/08033a" TargetMode="External"/><Relationship Id="rId82" Type="http://schemas.openxmlformats.org/officeDocument/2006/relationships/hyperlink" Target="https://kimotostudioaaa.netlify.app/08035a" TargetMode="External"/><Relationship Id="rId81" Type="http://schemas.openxmlformats.org/officeDocument/2006/relationships/hyperlink" Target="https://kimotostudioaaa.netlify.app/08034a" TargetMode="External"/><Relationship Id="rId1" Type="http://schemas.openxmlformats.org/officeDocument/2006/relationships/hyperlink" Target="https://harmonyspace.life.coocan.jp" TargetMode="External"/><Relationship Id="rId2" Type="http://schemas.openxmlformats.org/officeDocument/2006/relationships/hyperlink" Target="https://kimotostudioaaa.netlify.app/08000a" TargetMode="External"/><Relationship Id="rId3" Type="http://schemas.openxmlformats.org/officeDocument/2006/relationships/hyperlink" Target="https://www.makiko-love.com/" TargetMode="External"/><Relationship Id="rId149" Type="http://schemas.openxmlformats.org/officeDocument/2006/relationships/hyperlink" Target="https://www.instagram.com/8_9stars_8?igsh=OXdxdXY3ZnllN3Jj" TargetMode="External"/><Relationship Id="rId4" Type="http://schemas.openxmlformats.org/officeDocument/2006/relationships/hyperlink" Target="https://kimotostudioaaa.netlify.app/08001a" TargetMode="External"/><Relationship Id="rId148" Type="http://schemas.openxmlformats.org/officeDocument/2006/relationships/hyperlink" Target="https://kimotostudioaaa.netlify.app/08072a" TargetMode="External"/><Relationship Id="rId9" Type="http://schemas.openxmlformats.org/officeDocument/2006/relationships/hyperlink" Target="https://tenshian.jimdofree.com/" TargetMode="External"/><Relationship Id="rId143" Type="http://schemas.openxmlformats.org/officeDocument/2006/relationships/hyperlink" Target="https://ruka9flower.sakura.ne.jp/contact.php" TargetMode="External"/><Relationship Id="rId142" Type="http://schemas.openxmlformats.org/officeDocument/2006/relationships/hyperlink" Target="https://kimotostudioaaa.netlify.app/08070a" TargetMode="External"/><Relationship Id="rId141" Type="http://schemas.openxmlformats.org/officeDocument/2006/relationships/hyperlink" Target="https://purfleure.care/" TargetMode="External"/><Relationship Id="rId140" Type="http://schemas.openxmlformats.org/officeDocument/2006/relationships/hyperlink" Target="https://purfleure.care/reservation" TargetMode="External"/><Relationship Id="rId5" Type="http://schemas.openxmlformats.org/officeDocument/2006/relationships/hyperlink" Target="http://hakomitherapy.web.fc2.com/sub3.html" TargetMode="External"/><Relationship Id="rId147" Type="http://schemas.openxmlformats.org/officeDocument/2006/relationships/hyperlink" Target="https://love-and-joy.crayonsite.net/" TargetMode="External"/><Relationship Id="rId6" Type="http://schemas.openxmlformats.org/officeDocument/2006/relationships/hyperlink" Target="https://kimotostudioaaa.netlify.app/08002a" TargetMode="External"/><Relationship Id="rId146" Type="http://schemas.openxmlformats.org/officeDocument/2006/relationships/hyperlink" Target="https://love-and-joy.crayonsite.net/p/2/" TargetMode="External"/><Relationship Id="rId7" Type="http://schemas.openxmlformats.org/officeDocument/2006/relationships/hyperlink" Target="http://www.subarunoki.com/" TargetMode="External"/><Relationship Id="rId145" Type="http://schemas.openxmlformats.org/officeDocument/2006/relationships/hyperlink" Target="https://kimotostudioaaa.netlify.app/08071a" TargetMode="External"/><Relationship Id="rId8" Type="http://schemas.openxmlformats.org/officeDocument/2006/relationships/hyperlink" Target="https://kimotostudioaaa.netlify.app/08003a" TargetMode="External"/><Relationship Id="rId144" Type="http://schemas.openxmlformats.org/officeDocument/2006/relationships/hyperlink" Target="http://www.ruka9flower.com/" TargetMode="External"/><Relationship Id="rId73" Type="http://schemas.openxmlformats.org/officeDocument/2006/relationships/hyperlink" Target="https://kimotostudioaaa.netlify.app/08030a" TargetMode="External"/><Relationship Id="rId72" Type="http://schemas.openxmlformats.org/officeDocument/2006/relationships/hyperlink" Target="https://www.okutaki.com/" TargetMode="External"/><Relationship Id="rId75" Type="http://schemas.openxmlformats.org/officeDocument/2006/relationships/hyperlink" Target="https://kimotostudioaaa.netlify.app/08031a" TargetMode="External"/><Relationship Id="rId74" Type="http://schemas.openxmlformats.org/officeDocument/2006/relationships/hyperlink" Target="https://rosagiardinoopla.jimdofree.com/" TargetMode="External"/><Relationship Id="rId77" Type="http://schemas.openxmlformats.org/officeDocument/2006/relationships/hyperlink" Target="https://kimotostudioaaa.netlify.app/08032a" TargetMode="External"/><Relationship Id="rId76" Type="http://schemas.openxmlformats.org/officeDocument/2006/relationships/hyperlink" Target="https://www.cocoro.pink/" TargetMode="External"/><Relationship Id="rId79" Type="http://schemas.openxmlformats.org/officeDocument/2006/relationships/hyperlink" Target="https://cs60-hananoki.jimdosite.com/" TargetMode="External"/><Relationship Id="rId78" Type="http://schemas.openxmlformats.org/officeDocument/2006/relationships/hyperlink" Target="https://cs60-hananoki.jimdosite.com/%E3%81%8A%E5%95%8F%E3%81%84%E5%90%88%E3%82%8F%E3%81%9B/" TargetMode="External"/><Relationship Id="rId71" Type="http://schemas.openxmlformats.org/officeDocument/2006/relationships/hyperlink" Target="https://www.okutaki.com/form.php" TargetMode="External"/><Relationship Id="rId70" Type="http://schemas.openxmlformats.org/officeDocument/2006/relationships/hyperlink" Target="https://kimotostudioaaa.netlify.app/08029a" TargetMode="External"/><Relationship Id="rId139" Type="http://schemas.openxmlformats.org/officeDocument/2006/relationships/hyperlink" Target="https://kimotostudioaaa.netlify.app/08069a" TargetMode="External"/><Relationship Id="rId138" Type="http://schemas.openxmlformats.org/officeDocument/2006/relationships/hyperlink" Target="https://angel-pig-2.jimdosite.com/" TargetMode="External"/><Relationship Id="rId137" Type="http://schemas.openxmlformats.org/officeDocument/2006/relationships/hyperlink" Target="https://angel-pig-2.jimdosite.com/%E3%81%8A%E5%95%8F%E3%81%84%E5%90%88%E3%82%8F%E3%81%9B/" TargetMode="External"/><Relationship Id="rId132" Type="http://schemas.openxmlformats.org/officeDocument/2006/relationships/hyperlink" Target="https://www.jinya-wbn.com/" TargetMode="External"/><Relationship Id="rId131" Type="http://schemas.openxmlformats.org/officeDocument/2006/relationships/hyperlink" Target="https://kimotostudioaaa.netlify.app/08066a" TargetMode="External"/><Relationship Id="rId130" Type="http://schemas.openxmlformats.org/officeDocument/2006/relationships/hyperlink" Target="https://kakureminoya.com/shop-info/aichi/oosu/" TargetMode="External"/><Relationship Id="rId136" Type="http://schemas.openxmlformats.org/officeDocument/2006/relationships/hyperlink" Target="https://kimotostudioaaa.netlify.app/08068a" TargetMode="External"/><Relationship Id="rId135" Type="http://schemas.openxmlformats.org/officeDocument/2006/relationships/hyperlink" Target="https://www.healing-angel.com/" TargetMode="External"/><Relationship Id="rId134" Type="http://schemas.openxmlformats.org/officeDocument/2006/relationships/hyperlink" Target="https://www.healing-angel.com/contact/" TargetMode="External"/><Relationship Id="rId133" Type="http://schemas.openxmlformats.org/officeDocument/2006/relationships/hyperlink" Target="https://kimotostudioaaa.netlify.app/08067a" TargetMode="External"/><Relationship Id="rId62" Type="http://schemas.openxmlformats.org/officeDocument/2006/relationships/hyperlink" Target="https://salonsakihana.amebaownd.com/" TargetMode="External"/><Relationship Id="rId61" Type="http://schemas.openxmlformats.org/officeDocument/2006/relationships/hyperlink" Target="https://kimotostudioaaa.netlify.app/08025a" TargetMode="External"/><Relationship Id="rId64" Type="http://schemas.openxmlformats.org/officeDocument/2006/relationships/hyperlink" Target="https://happy8smile25.crayonsite.com/" TargetMode="External"/><Relationship Id="rId63" Type="http://schemas.openxmlformats.org/officeDocument/2006/relationships/hyperlink" Target="https://kimotostudioaaa.netlify.app/08026a" TargetMode="External"/><Relationship Id="rId66" Type="http://schemas.openxmlformats.org/officeDocument/2006/relationships/hyperlink" Target="https://wingheart-hand.crayonsite.com/" TargetMode="External"/><Relationship Id="rId172" Type="http://schemas.openxmlformats.org/officeDocument/2006/relationships/hyperlink" Target="https://xn--20190501-up1m808b.net/" TargetMode="External"/><Relationship Id="rId65" Type="http://schemas.openxmlformats.org/officeDocument/2006/relationships/hyperlink" Target="https://kimotostudioaaa.netlify.app/08027a" TargetMode="External"/><Relationship Id="rId171" Type="http://schemas.openxmlformats.org/officeDocument/2006/relationships/hyperlink" Target="https://xn--20190501-up1m808b.net/page-37/" TargetMode="External"/><Relationship Id="rId68" Type="http://schemas.openxmlformats.org/officeDocument/2006/relationships/hyperlink" Target="https://kimotostudioaaa.netlify.app/08028a" TargetMode="External"/><Relationship Id="rId170" Type="http://schemas.openxmlformats.org/officeDocument/2006/relationships/hyperlink" Target="https://kimotostudioaaa.netlify.app/08080a" TargetMode="External"/><Relationship Id="rId67" Type="http://schemas.openxmlformats.org/officeDocument/2006/relationships/hyperlink" Target="https://wingheart-hand.crayonsite.com/" TargetMode="External"/><Relationship Id="rId60" Type="http://schemas.openxmlformats.org/officeDocument/2006/relationships/hyperlink" Target="https://www.iyashite-seitaikikou.com/" TargetMode="External"/><Relationship Id="rId165" Type="http://schemas.openxmlformats.org/officeDocument/2006/relationships/hyperlink" Target="https://kimotostudioaaa.netlify.app/08078a" TargetMode="External"/><Relationship Id="rId69" Type="http://schemas.openxmlformats.org/officeDocument/2006/relationships/hyperlink" Target="https://loving-message716.jimdofree.com/%E3%83%A1%E3%83%8B%E3%83%A5%E3%83%BC/" TargetMode="External"/><Relationship Id="rId164" Type="http://schemas.openxmlformats.org/officeDocument/2006/relationships/hyperlink" Target="https://my-site-100950-102273.square.site/" TargetMode="External"/><Relationship Id="rId163" Type="http://schemas.openxmlformats.org/officeDocument/2006/relationships/hyperlink" Target="https://kimotostudioaaa.netlify.app/08077a" TargetMode="External"/><Relationship Id="rId162" Type="http://schemas.openxmlformats.org/officeDocument/2006/relationships/hyperlink" Target="https://dans-la-mer.jp/" TargetMode="External"/><Relationship Id="rId169" Type="http://schemas.openxmlformats.org/officeDocument/2006/relationships/hyperlink" Target="https://yyoffice-cs60.com/" TargetMode="External"/><Relationship Id="rId168" Type="http://schemas.openxmlformats.org/officeDocument/2006/relationships/hyperlink" Target="https://yyoffice-cs60.com/contact" TargetMode="External"/><Relationship Id="rId167" Type="http://schemas.openxmlformats.org/officeDocument/2006/relationships/hyperlink" Target="https://kimotostudioaaa.netlify.app/08079a" TargetMode="External"/><Relationship Id="rId166" Type="http://schemas.openxmlformats.org/officeDocument/2006/relationships/hyperlink" Target="https://www.sollights-labo.com/" TargetMode="External"/><Relationship Id="rId51" Type="http://schemas.openxmlformats.org/officeDocument/2006/relationships/hyperlink" Target="https://kimotostudioaaa.netlify.app/08021a" TargetMode="External"/><Relationship Id="rId50" Type="http://schemas.openxmlformats.org/officeDocument/2006/relationships/hyperlink" Target="https://sites.google.com/view/healingsalonasa/" TargetMode="External"/><Relationship Id="rId53" Type="http://schemas.openxmlformats.org/officeDocument/2006/relationships/hyperlink" Target="https://la-malama.jp/" TargetMode="External"/><Relationship Id="rId52" Type="http://schemas.openxmlformats.org/officeDocument/2006/relationships/hyperlink" Target="https://la-malama.jp/contact" TargetMode="External"/><Relationship Id="rId55" Type="http://schemas.openxmlformats.org/officeDocument/2006/relationships/hyperlink" Target="https://www.mamal888.com/?utm_source=google&amp;utm_medium=maps" TargetMode="External"/><Relationship Id="rId161" Type="http://schemas.openxmlformats.org/officeDocument/2006/relationships/hyperlink" Target="https://dans-la-mer.jp/contact/" TargetMode="External"/><Relationship Id="rId54" Type="http://schemas.openxmlformats.org/officeDocument/2006/relationships/hyperlink" Target="https://kimotostudioaaa.netlify.app/08022a" TargetMode="External"/><Relationship Id="rId160" Type="http://schemas.openxmlformats.org/officeDocument/2006/relationships/hyperlink" Target="https://kimotostudioaaa.netlify.app/08076a" TargetMode="External"/><Relationship Id="rId57" Type="http://schemas.openxmlformats.org/officeDocument/2006/relationships/hyperlink" Target="https://www.harmony-6.com/%E3%81%94%E4%BA%88%E7%B4%84-%E3%81%8A%E5%95%8F%E5%90%88%E3%82%8F%E3%81%9B/" TargetMode="External"/><Relationship Id="rId56" Type="http://schemas.openxmlformats.org/officeDocument/2006/relationships/hyperlink" Target="https://kimotostudioaaa.netlify.app/08023a" TargetMode="External"/><Relationship Id="rId159" Type="http://schemas.openxmlformats.org/officeDocument/2006/relationships/hyperlink" Target="https://hoshinohikari.sakura.ne.jp/index.html" TargetMode="External"/><Relationship Id="rId59" Type="http://schemas.openxmlformats.org/officeDocument/2006/relationships/hyperlink" Target="https://kimotostudioaaa.netlify.app/08024a" TargetMode="External"/><Relationship Id="rId154" Type="http://schemas.openxmlformats.org/officeDocument/2006/relationships/hyperlink" Target="https://kimotostudioaaa.netlify.app/08074a" TargetMode="External"/><Relationship Id="rId58" Type="http://schemas.openxmlformats.org/officeDocument/2006/relationships/hyperlink" Target="https://www.harmony-6.com/" TargetMode="External"/><Relationship Id="rId153" Type="http://schemas.openxmlformats.org/officeDocument/2006/relationships/hyperlink" Target="https://sinkyu-cocoro.com/" TargetMode="External"/><Relationship Id="rId152" Type="http://schemas.openxmlformats.org/officeDocument/2006/relationships/hyperlink" Target="https://sinkyu-cocoro.com/%e3%81%94%e4%ba%88%e7%b4%84/" TargetMode="External"/><Relationship Id="rId151" Type="http://schemas.openxmlformats.org/officeDocument/2006/relationships/hyperlink" Target="https://kimotostudioaaa.netlify.app/08073a" TargetMode="External"/><Relationship Id="rId158" Type="http://schemas.openxmlformats.org/officeDocument/2006/relationships/hyperlink" Target="https://form1ssl.fc2.com/form/?id=c58f51604f5f3438" TargetMode="External"/><Relationship Id="rId157" Type="http://schemas.openxmlformats.org/officeDocument/2006/relationships/hyperlink" Target="https://kimotostudioaaa.netlify.app/08075a" TargetMode="External"/><Relationship Id="rId156" Type="http://schemas.openxmlformats.org/officeDocument/2006/relationships/hyperlink" Target="http://www.a-t-i.jp/index.html" TargetMode="External"/><Relationship Id="rId155" Type="http://schemas.openxmlformats.org/officeDocument/2006/relationships/hyperlink" Target="http://www.a-t-i.jp/inquiry.html" TargetMode="External"/><Relationship Id="rId107" Type="http://schemas.openxmlformats.org/officeDocument/2006/relationships/hyperlink" Target="https://r.goope.jp/hha-okamura/contact" TargetMode="External"/><Relationship Id="rId106" Type="http://schemas.openxmlformats.org/officeDocument/2006/relationships/hyperlink" Target="https://kimotostudioaaa.netlify.app/08057a" TargetMode="External"/><Relationship Id="rId105" Type="http://schemas.openxmlformats.org/officeDocument/2006/relationships/hyperlink" Target="https://smart.reservestock.jp/58861" TargetMode="External"/><Relationship Id="rId104" Type="http://schemas.openxmlformats.org/officeDocument/2006/relationships/hyperlink" Target="https://smart.reservestock.jp/inquiry_form/inquiry_form/142983" TargetMode="External"/><Relationship Id="rId109" Type="http://schemas.openxmlformats.org/officeDocument/2006/relationships/hyperlink" Target="https://kimotostudioaaa.netlify.app/08058a" TargetMode="External"/><Relationship Id="rId108" Type="http://schemas.openxmlformats.org/officeDocument/2006/relationships/hyperlink" Target="https://r.goope.jp/hha-okamura/" TargetMode="External"/><Relationship Id="rId103" Type="http://schemas.openxmlformats.org/officeDocument/2006/relationships/hyperlink" Target="https://kimotostudioaaa.netlify.app/08056a" TargetMode="External"/><Relationship Id="rId102" Type="http://schemas.openxmlformats.org/officeDocument/2006/relationships/hyperlink" Target="https://kimotostudioaaa.netlify.app/08055a" TargetMode="External"/><Relationship Id="rId101" Type="http://schemas.openxmlformats.org/officeDocument/2006/relationships/hyperlink" Target="https://kimotostudioaaa.netlify.app/08054a" TargetMode="External"/><Relationship Id="rId100" Type="http://schemas.openxmlformats.org/officeDocument/2006/relationships/hyperlink" Target="https://kimotostudioaaa.netlify.app/08053a" TargetMode="External"/><Relationship Id="rId129" Type="http://schemas.openxmlformats.org/officeDocument/2006/relationships/hyperlink" Target="https://kimotostudioaaa.netlify.app/08065a" TargetMode="External"/><Relationship Id="rId128" Type="http://schemas.openxmlformats.org/officeDocument/2006/relationships/hyperlink" Target="https://www.space-tencoo.com/" TargetMode="External"/><Relationship Id="rId127" Type="http://schemas.openxmlformats.org/officeDocument/2006/relationships/hyperlink" Target="https://www.space-tencoo.com/%E3%81%94%E4%BA%88%E7%B4%84/%E3%81%8A%E5%95%8F%E3%81%84%E5%90%88%E3%82%8F%E3%81%9B/" TargetMode="External"/><Relationship Id="rId126" Type="http://schemas.openxmlformats.org/officeDocument/2006/relationships/hyperlink" Target="https://kimotostudioaaa.netlify.app/08064a" TargetMode="External"/><Relationship Id="rId121" Type="http://schemas.openxmlformats.org/officeDocument/2006/relationships/hyperlink" Target="https://kimotostudioaaa.netlify.app/08062a" TargetMode="External"/><Relationship Id="rId120" Type="http://schemas.openxmlformats.org/officeDocument/2006/relationships/hyperlink" Target="https://salon-makia-55.crayonsite.net/" TargetMode="External"/><Relationship Id="rId125" Type="http://schemas.openxmlformats.org/officeDocument/2006/relationships/hyperlink" Target="https://goddessrose.cpv.jp/" TargetMode="External"/><Relationship Id="rId124" Type="http://schemas.openxmlformats.org/officeDocument/2006/relationships/hyperlink" Target="https://kimotostudioaaa.netlify.app/08063a" TargetMode="External"/><Relationship Id="rId123" Type="http://schemas.openxmlformats.org/officeDocument/2006/relationships/hyperlink" Target="https://www.kuuto.website/" TargetMode="External"/><Relationship Id="rId122" Type="http://schemas.openxmlformats.org/officeDocument/2006/relationships/hyperlink" Target="https://www.kuuto.website/%E3%81%8A%E5%95%8F%E5%90%88%E3%81%9B/" TargetMode="External"/><Relationship Id="rId95" Type="http://schemas.openxmlformats.org/officeDocument/2006/relationships/hyperlink" Target="https://kimotostudioaaa.netlify.app/08048a" TargetMode="External"/><Relationship Id="rId94" Type="http://schemas.openxmlformats.org/officeDocument/2006/relationships/hyperlink" Target="https://kimotostudioaaa.netlify.app/08047a" TargetMode="External"/><Relationship Id="rId97" Type="http://schemas.openxmlformats.org/officeDocument/2006/relationships/hyperlink" Target="https://kimotostudioaaa.netlify.app/08050a" TargetMode="External"/><Relationship Id="rId96" Type="http://schemas.openxmlformats.org/officeDocument/2006/relationships/hyperlink" Target="https://kimotostudioaaa.netlify.app/08049a" TargetMode="External"/><Relationship Id="rId99" Type="http://schemas.openxmlformats.org/officeDocument/2006/relationships/hyperlink" Target="https://kimotostudioaaa.netlify.app/08052a" TargetMode="External"/><Relationship Id="rId98" Type="http://schemas.openxmlformats.org/officeDocument/2006/relationships/hyperlink" Target="https://kimotostudioaaa.netlify.app/08051a" TargetMode="External"/><Relationship Id="rId91" Type="http://schemas.openxmlformats.org/officeDocument/2006/relationships/hyperlink" Target="https://kimotostudioaaa.netlify.app/08044a" TargetMode="External"/><Relationship Id="rId90" Type="http://schemas.openxmlformats.org/officeDocument/2006/relationships/hyperlink" Target="https://kimotostudioaaa.netlify.app/08043a" TargetMode="External"/><Relationship Id="rId93" Type="http://schemas.openxmlformats.org/officeDocument/2006/relationships/hyperlink" Target="https://kimotostudioaaa.netlify.app/08046a" TargetMode="External"/><Relationship Id="rId92" Type="http://schemas.openxmlformats.org/officeDocument/2006/relationships/hyperlink" Target="https://kimotostudioaaa.netlify.app/08045a" TargetMode="External"/><Relationship Id="rId118" Type="http://schemas.openxmlformats.org/officeDocument/2006/relationships/hyperlink" Target="https://kimotostudioaaa.netlify.app/08061a" TargetMode="External"/><Relationship Id="rId117" Type="http://schemas.openxmlformats.org/officeDocument/2006/relationships/hyperlink" Target="https://www.schooloflights.net" TargetMode="External"/><Relationship Id="rId116" Type="http://schemas.openxmlformats.org/officeDocument/2006/relationships/hyperlink" Target="https://www.schooloflights.net/%E3%81%8A%E5%95%8F%E5%90%88%E3%82%8F%E3%81%9B-%E3%81%8A%E7%94%B3%E8%BE%BC%E3%81%BF-%E3%82%A2%E3%82%AF%E3%82%BB%E3%82%B9/" TargetMode="External"/><Relationship Id="rId115" Type="http://schemas.openxmlformats.org/officeDocument/2006/relationships/hyperlink" Target="https://kimotostudioaaa.netlify.app/08060a" TargetMode="External"/><Relationship Id="rId119" Type="http://schemas.openxmlformats.org/officeDocument/2006/relationships/hyperlink" Target="https://salon-makia-55.crayonsite.net/p/3/" TargetMode="External"/><Relationship Id="rId110" Type="http://schemas.openxmlformats.org/officeDocument/2006/relationships/hyperlink" Target="https://www.qoricancha.com/contact" TargetMode="External"/><Relationship Id="rId114" Type="http://schemas.openxmlformats.org/officeDocument/2006/relationships/hyperlink" Target="http://www.starseed777.jp/" TargetMode="External"/><Relationship Id="rId113" Type="http://schemas.openxmlformats.org/officeDocument/2006/relationships/hyperlink" Target="http://www.starseed777.jp/contact/page1.html" TargetMode="External"/><Relationship Id="rId112" Type="http://schemas.openxmlformats.org/officeDocument/2006/relationships/hyperlink" Target="https://kimotostudioaaa.netlify.app/08059a" TargetMode="External"/><Relationship Id="rId111" Type="http://schemas.openxmlformats.org/officeDocument/2006/relationships/hyperlink" Target="https://www.qoricancha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oving-message716.jimdofree.com/%E3%83%A1%E3%83%8B%E3%83%A5%E3%83%BC/" TargetMode="External"/><Relationship Id="rId42" Type="http://schemas.openxmlformats.org/officeDocument/2006/relationships/hyperlink" Target="https://www.okutaki.com/" TargetMode="External"/><Relationship Id="rId41" Type="http://schemas.openxmlformats.org/officeDocument/2006/relationships/hyperlink" Target="https://www.okutaki.com/form.php" TargetMode="External"/><Relationship Id="rId44" Type="http://schemas.openxmlformats.org/officeDocument/2006/relationships/hyperlink" Target="https://www.cocoro.pink/" TargetMode="External"/><Relationship Id="rId43" Type="http://schemas.openxmlformats.org/officeDocument/2006/relationships/hyperlink" Target="https://rosagiardinoopla.jimdofree.com/" TargetMode="External"/><Relationship Id="rId46" Type="http://schemas.openxmlformats.org/officeDocument/2006/relationships/hyperlink" Target="https://cs60-hananoki.jimdosite.com/" TargetMode="External"/><Relationship Id="rId45" Type="http://schemas.openxmlformats.org/officeDocument/2006/relationships/hyperlink" Target="https://cs60-hananoki.jimdosite.com/%E3%81%8A%E5%95%8F%E3%81%84%E5%90%88%E3%82%8F%E3%81%9B/" TargetMode="External"/><Relationship Id="rId47" Type="http://schemas.openxmlformats.org/officeDocument/2006/relationships/drawing" Target="../drawings/drawing2.xml"/><Relationship Id="rId31" Type="http://schemas.openxmlformats.org/officeDocument/2006/relationships/hyperlink" Target="https://la-malama.jp/" TargetMode="External"/><Relationship Id="rId30" Type="http://schemas.openxmlformats.org/officeDocument/2006/relationships/hyperlink" Target="https://la-malama.jp/contact" TargetMode="External"/><Relationship Id="rId33" Type="http://schemas.openxmlformats.org/officeDocument/2006/relationships/hyperlink" Target="https://www.harmony-6.com/%E3%81%94%E4%BA%88%E7%B4%84-%E3%81%8A%E5%95%8F%E5%90%88%E3%82%8F%E3%81%9B/" TargetMode="External"/><Relationship Id="rId32" Type="http://schemas.openxmlformats.org/officeDocument/2006/relationships/hyperlink" Target="https://www.mamal888.com/?utm_source=google&amp;utm_medium=maps" TargetMode="External"/><Relationship Id="rId35" Type="http://schemas.openxmlformats.org/officeDocument/2006/relationships/hyperlink" Target="https://www.iyashite-seitaikikou.com/" TargetMode="External"/><Relationship Id="rId34" Type="http://schemas.openxmlformats.org/officeDocument/2006/relationships/hyperlink" Target="https://www.harmony-6.com/" TargetMode="External"/><Relationship Id="rId37" Type="http://schemas.openxmlformats.org/officeDocument/2006/relationships/hyperlink" Target="https://happy8smile25.crayonsite.com/" TargetMode="External"/><Relationship Id="rId36" Type="http://schemas.openxmlformats.org/officeDocument/2006/relationships/hyperlink" Target="https://salonsakihana.amebaownd.com/" TargetMode="External"/><Relationship Id="rId39" Type="http://schemas.openxmlformats.org/officeDocument/2006/relationships/hyperlink" Target="https://wingheart-hand.crayonsite.com/" TargetMode="External"/><Relationship Id="rId38" Type="http://schemas.openxmlformats.org/officeDocument/2006/relationships/hyperlink" Target="https://wingheart-hand.crayonsite.com/" TargetMode="External"/><Relationship Id="rId20" Type="http://schemas.openxmlformats.org/officeDocument/2006/relationships/hyperlink" Target="https://www.healing-seraph.com/inquiry" TargetMode="External"/><Relationship Id="rId22" Type="http://schemas.openxmlformats.org/officeDocument/2006/relationships/hyperlink" Target="https://heartfulai.wixsite.com/salon/contact" TargetMode="External"/><Relationship Id="rId21" Type="http://schemas.openxmlformats.org/officeDocument/2006/relationships/hyperlink" Target="https://www.healing-seraph.com/" TargetMode="External"/><Relationship Id="rId24" Type="http://schemas.openxmlformats.org/officeDocument/2006/relationships/hyperlink" Target="https://isola88.jimdofree.com/%E3%81%8A%E5%95%8F%E3%81%84%E5%90%88%E3%82%8F%E3%81%9B/" TargetMode="External"/><Relationship Id="rId23" Type="http://schemas.openxmlformats.org/officeDocument/2006/relationships/hyperlink" Target="https://heartfulai.wixsite.com/salon" TargetMode="External"/><Relationship Id="rId26" Type="http://schemas.openxmlformats.org/officeDocument/2006/relationships/hyperlink" Target="https://tida-aya.hp.peraichi.com/otoiawase" TargetMode="External"/><Relationship Id="rId25" Type="http://schemas.openxmlformats.org/officeDocument/2006/relationships/hyperlink" Target="https://isola88.jimdofree.com/" TargetMode="External"/><Relationship Id="rId28" Type="http://schemas.openxmlformats.org/officeDocument/2006/relationships/hyperlink" Target="https://ws.formzu.net/sfgen/S26435976/" TargetMode="External"/><Relationship Id="rId27" Type="http://schemas.openxmlformats.org/officeDocument/2006/relationships/hyperlink" Target="https://tidaya.com/" TargetMode="External"/><Relationship Id="rId29" Type="http://schemas.openxmlformats.org/officeDocument/2006/relationships/hyperlink" Target="https://sites.google.com/view/healingsalonasa/" TargetMode="External"/><Relationship Id="rId11" Type="http://schemas.openxmlformats.org/officeDocument/2006/relationships/hyperlink" Target="http://www.roseaphrodite.com/contact.html" TargetMode="External"/><Relationship Id="rId10" Type="http://schemas.openxmlformats.org/officeDocument/2006/relationships/hyperlink" Target="https://tetukohealingsalon.com/index.html" TargetMode="External"/><Relationship Id="rId13" Type="http://schemas.openxmlformats.org/officeDocument/2006/relationships/hyperlink" Target="https://slange-okazaki-m.jimdofree.com/" TargetMode="External"/><Relationship Id="rId12" Type="http://schemas.openxmlformats.org/officeDocument/2006/relationships/hyperlink" Target="http://www.roseaphrodite.com/index.php" TargetMode="External"/><Relationship Id="rId15" Type="http://schemas.openxmlformats.org/officeDocument/2006/relationships/hyperlink" Target="https://www.instagram.com/palmmomoko?igsh=MTUzZjUwMzFtY2lsaA==" TargetMode="External"/><Relationship Id="rId14" Type="http://schemas.openxmlformats.org/officeDocument/2006/relationships/hyperlink" Target="https://www2.hp-ez.com/hp/mayacib/page1" TargetMode="External"/><Relationship Id="rId17" Type="http://schemas.openxmlformats.org/officeDocument/2006/relationships/hyperlink" Target="https://kaorin-smile.com/2026/01/" TargetMode="External"/><Relationship Id="rId16" Type="http://schemas.openxmlformats.org/officeDocument/2006/relationships/hyperlink" Target="https://coco.sapr.jp/" TargetMode="External"/><Relationship Id="rId19" Type="http://schemas.openxmlformats.org/officeDocument/2006/relationships/hyperlink" Target="https://hoshino-kaori.com/" TargetMode="External"/><Relationship Id="rId18" Type="http://schemas.openxmlformats.org/officeDocument/2006/relationships/hyperlink" Target="https://hoshino-kaori.com/menu/" TargetMode="External"/><Relationship Id="rId1" Type="http://schemas.openxmlformats.org/officeDocument/2006/relationships/hyperlink" Target="https://harmonyspace.life.coocan.jp" TargetMode="External"/><Relationship Id="rId2" Type="http://schemas.openxmlformats.org/officeDocument/2006/relationships/hyperlink" Target="https://www.makiko-love.com/" TargetMode="External"/><Relationship Id="rId3" Type="http://schemas.openxmlformats.org/officeDocument/2006/relationships/hyperlink" Target="http://hakomitherapy.web.fc2.com/sub3.html" TargetMode="External"/><Relationship Id="rId4" Type="http://schemas.openxmlformats.org/officeDocument/2006/relationships/hyperlink" Target="http://www.subarunoki.com/" TargetMode="External"/><Relationship Id="rId9" Type="http://schemas.openxmlformats.org/officeDocument/2006/relationships/hyperlink" Target="https://lit.link/32961a2d-c4f1-4bd6-99e6-044af81fabf7" TargetMode="External"/><Relationship Id="rId5" Type="http://schemas.openxmlformats.org/officeDocument/2006/relationships/hyperlink" Target="https://tenshian.jimdofree.com/" TargetMode="External"/><Relationship Id="rId6" Type="http://schemas.openxmlformats.org/officeDocument/2006/relationships/hyperlink" Target="http://www.balihai-4rainbow.com/index.htm" TargetMode="External"/><Relationship Id="rId7" Type="http://schemas.openxmlformats.org/officeDocument/2006/relationships/hyperlink" Target="http://shinra33.jp/" TargetMode="External"/><Relationship Id="rId8" Type="http://schemas.openxmlformats.org/officeDocument/2006/relationships/hyperlink" Target="https://light.st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y-site-100950-102273.square.site/" TargetMode="External"/><Relationship Id="rId42" Type="http://schemas.openxmlformats.org/officeDocument/2006/relationships/hyperlink" Target="https://yyoffice-cs60.com/contact" TargetMode="External"/><Relationship Id="rId41" Type="http://schemas.openxmlformats.org/officeDocument/2006/relationships/hyperlink" Target="https://www.sollights-labo.com/" TargetMode="External"/><Relationship Id="rId44" Type="http://schemas.openxmlformats.org/officeDocument/2006/relationships/hyperlink" Target="https://xn--20190501-up1m808b.net/page-37/" TargetMode="External"/><Relationship Id="rId43" Type="http://schemas.openxmlformats.org/officeDocument/2006/relationships/hyperlink" Target="https://yyoffice-cs60.com/" TargetMode="External"/><Relationship Id="rId46" Type="http://schemas.openxmlformats.org/officeDocument/2006/relationships/hyperlink" Target="https://www.healinghouse-fullfull.com/%E3%81%94%E4%BA%88%E7%B4%84-%E3%81%8A%E5%95%8F%E3%81%84%E5%90%88%E3%82%8F%E3%81%9B/%E3%83%A1%E3%83%BC%E3%83%AB%E3%81%A7%E3%81%AE%E3%81%94%E4%BA%88%E7%B4%84-%E3%81%8A%E5%95%8F%E3%81%84%E5%90%88%E3%82%8F%E3%81%9B/" TargetMode="External"/><Relationship Id="rId45" Type="http://schemas.openxmlformats.org/officeDocument/2006/relationships/hyperlink" Target="https://xn--20190501-up1m808b.net/" TargetMode="External"/><Relationship Id="rId48" Type="http://schemas.openxmlformats.org/officeDocument/2006/relationships/hyperlink" Target="https://eiji1975210.jimdofree.com/" TargetMode="External"/><Relationship Id="rId47" Type="http://schemas.openxmlformats.org/officeDocument/2006/relationships/hyperlink" Target="https://www.healinghouse-fullfull.com/" TargetMode="External"/><Relationship Id="rId49" Type="http://schemas.openxmlformats.org/officeDocument/2006/relationships/hyperlink" Target="https://healing-oneness.com/sun/office/" TargetMode="External"/><Relationship Id="rId31" Type="http://schemas.openxmlformats.org/officeDocument/2006/relationships/hyperlink" Target="https://ameblo.jp/8-9star-8/?utm_source=ig&amp;utm_medium=social&amp;utm_content=link_in_bio&amp;fbclid=PAb21jcAPdF6hleHRuA2FlbQIxMQBzcnRjBmFwcF9pZA81NjcwNjczNDMzNTI0MjcAAaelJQU9Q9ApN1A0qode1dDAk3zMpcHnyBJ307kPTm7z2hW2Ne020q8E70q__w_aem_7efc9vw3UMUiiqn0tVjCYw" TargetMode="External"/><Relationship Id="rId30" Type="http://schemas.openxmlformats.org/officeDocument/2006/relationships/hyperlink" Target="https://www.instagram.com/8_9stars_8?igsh=OXdxdXY3ZnllN3Jj" TargetMode="External"/><Relationship Id="rId33" Type="http://schemas.openxmlformats.org/officeDocument/2006/relationships/hyperlink" Target="https://sinkyu-cocoro.com/" TargetMode="External"/><Relationship Id="rId32" Type="http://schemas.openxmlformats.org/officeDocument/2006/relationships/hyperlink" Target="https://sinkyu-cocoro.com/%e3%81%94%e4%ba%88%e7%b4%84/" TargetMode="External"/><Relationship Id="rId35" Type="http://schemas.openxmlformats.org/officeDocument/2006/relationships/hyperlink" Target="http://www.a-t-i.jp/index.html" TargetMode="External"/><Relationship Id="rId34" Type="http://schemas.openxmlformats.org/officeDocument/2006/relationships/hyperlink" Target="http://www.a-t-i.jp/inquiry.html" TargetMode="External"/><Relationship Id="rId37" Type="http://schemas.openxmlformats.org/officeDocument/2006/relationships/hyperlink" Target="https://hoshinohikari.sakura.ne.jp/index.html" TargetMode="External"/><Relationship Id="rId36" Type="http://schemas.openxmlformats.org/officeDocument/2006/relationships/hyperlink" Target="https://form1ssl.fc2.com/form/?id=c58f51604f5f3438" TargetMode="External"/><Relationship Id="rId39" Type="http://schemas.openxmlformats.org/officeDocument/2006/relationships/hyperlink" Target="https://dans-la-mer.jp/" TargetMode="External"/><Relationship Id="rId38" Type="http://schemas.openxmlformats.org/officeDocument/2006/relationships/hyperlink" Target="https://dans-la-mer.jp/contact/" TargetMode="External"/><Relationship Id="rId20" Type="http://schemas.openxmlformats.org/officeDocument/2006/relationships/hyperlink" Target="https://www.healing-angel.com/contact/" TargetMode="External"/><Relationship Id="rId22" Type="http://schemas.openxmlformats.org/officeDocument/2006/relationships/hyperlink" Target="https://angel-pig-2.jimdosite.com/%E3%81%8A%E5%95%8F%E3%81%84%E5%90%88%E3%82%8F%E3%81%9B/" TargetMode="External"/><Relationship Id="rId21" Type="http://schemas.openxmlformats.org/officeDocument/2006/relationships/hyperlink" Target="https://www.healing-angel.com/" TargetMode="External"/><Relationship Id="rId24" Type="http://schemas.openxmlformats.org/officeDocument/2006/relationships/hyperlink" Target="https://purfleure.care/reservation" TargetMode="External"/><Relationship Id="rId23" Type="http://schemas.openxmlformats.org/officeDocument/2006/relationships/hyperlink" Target="https://angel-pig-2.jimdosite.com/" TargetMode="External"/><Relationship Id="rId26" Type="http://schemas.openxmlformats.org/officeDocument/2006/relationships/hyperlink" Target="https://ruka9flower.sakura.ne.jp/contact.php" TargetMode="External"/><Relationship Id="rId25" Type="http://schemas.openxmlformats.org/officeDocument/2006/relationships/hyperlink" Target="https://purfleure.care/" TargetMode="External"/><Relationship Id="rId28" Type="http://schemas.openxmlformats.org/officeDocument/2006/relationships/hyperlink" Target="https://love-and-joy.crayonsite.net/p/2/" TargetMode="External"/><Relationship Id="rId27" Type="http://schemas.openxmlformats.org/officeDocument/2006/relationships/hyperlink" Target="http://www.ruka9flower.com/" TargetMode="External"/><Relationship Id="rId29" Type="http://schemas.openxmlformats.org/officeDocument/2006/relationships/hyperlink" Target="https://love-and-joy.crayonsite.net/" TargetMode="External"/><Relationship Id="rId11" Type="http://schemas.openxmlformats.org/officeDocument/2006/relationships/hyperlink" Target="https://salon-makia-55.crayonsite.net/p/3/" TargetMode="External"/><Relationship Id="rId10" Type="http://schemas.openxmlformats.org/officeDocument/2006/relationships/hyperlink" Target="https://www.schooloflights.net" TargetMode="External"/><Relationship Id="rId13" Type="http://schemas.openxmlformats.org/officeDocument/2006/relationships/hyperlink" Target="https://www.kuuto.website/%E3%81%8A%E5%95%8F%E5%90%88%E3%81%9B/" TargetMode="External"/><Relationship Id="rId12" Type="http://schemas.openxmlformats.org/officeDocument/2006/relationships/hyperlink" Target="https://salon-makia-55.crayonsite.net/" TargetMode="External"/><Relationship Id="rId15" Type="http://schemas.openxmlformats.org/officeDocument/2006/relationships/hyperlink" Target="https://goddessrose.cpv.jp/" TargetMode="External"/><Relationship Id="rId14" Type="http://schemas.openxmlformats.org/officeDocument/2006/relationships/hyperlink" Target="https://www.kuuto.website/" TargetMode="External"/><Relationship Id="rId17" Type="http://schemas.openxmlformats.org/officeDocument/2006/relationships/hyperlink" Target="https://www.space-tencoo.com/" TargetMode="External"/><Relationship Id="rId16" Type="http://schemas.openxmlformats.org/officeDocument/2006/relationships/hyperlink" Target="https://www.space-tencoo.com/%E3%81%94%E4%BA%88%E7%B4%84/%E3%81%8A%E5%95%8F%E3%81%84%E5%90%88%E3%82%8F%E3%81%9B/" TargetMode="External"/><Relationship Id="rId19" Type="http://schemas.openxmlformats.org/officeDocument/2006/relationships/hyperlink" Target="https://www.jinya-wbn.com/" TargetMode="External"/><Relationship Id="rId18" Type="http://schemas.openxmlformats.org/officeDocument/2006/relationships/hyperlink" Target="https://kakureminoya.com/shop-info/aichi/oosu/" TargetMode="External"/><Relationship Id="rId1" Type="http://schemas.openxmlformats.org/officeDocument/2006/relationships/hyperlink" Target="https://smart.reservestock.jp/inquiry_form/inquiry_form/142983" TargetMode="External"/><Relationship Id="rId2" Type="http://schemas.openxmlformats.org/officeDocument/2006/relationships/hyperlink" Target="https://smart.reservestock.jp/58861" TargetMode="External"/><Relationship Id="rId3" Type="http://schemas.openxmlformats.org/officeDocument/2006/relationships/hyperlink" Target="https://r.goope.jp/hha-okamura/contact" TargetMode="External"/><Relationship Id="rId4" Type="http://schemas.openxmlformats.org/officeDocument/2006/relationships/hyperlink" Target="https://r.goope.jp/hha-okamura/" TargetMode="External"/><Relationship Id="rId9" Type="http://schemas.openxmlformats.org/officeDocument/2006/relationships/hyperlink" Target="https://www.schooloflights.net/%E3%81%8A%E5%95%8F%E5%90%88%E3%82%8F%E3%81%9B-%E3%81%8A%E7%94%B3%E8%BE%BC%E3%81%BF-%E3%82%A2%E3%82%AF%E3%82%BB%E3%82%B9/" TargetMode="External"/><Relationship Id="rId5" Type="http://schemas.openxmlformats.org/officeDocument/2006/relationships/hyperlink" Target="https://www.qoricancha.com/contact" TargetMode="External"/><Relationship Id="rId6" Type="http://schemas.openxmlformats.org/officeDocument/2006/relationships/hyperlink" Target="https://www.qoricancha.com/" TargetMode="External"/><Relationship Id="rId7" Type="http://schemas.openxmlformats.org/officeDocument/2006/relationships/hyperlink" Target="http://www.starseed777.jp/contact/page1.html" TargetMode="External"/><Relationship Id="rId8" Type="http://schemas.openxmlformats.org/officeDocument/2006/relationships/hyperlink" Target="http://www.starseed777.jp/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healing-oneness.com/su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  <c r="L1" s="2" t="s">
        <v>9</v>
      </c>
    </row>
    <row r="2">
      <c r="B2" s="2" t="s">
        <v>10</v>
      </c>
    </row>
    <row r="3">
      <c r="B3" s="3" t="str">
        <f>IFERROR(__xludf.DUMMYFUNCTION("QUERY('北海道'!A:D, ""select * where C='△'"", 1)"),"店舗名")</f>
        <v>店舗名</v>
      </c>
      <c r="C3" s="3" t="str">
        <f>IFERROR(__xludf.DUMMYFUNCTION("""COMPUTED_VALUE"""),"メアド")</f>
        <v>メアド</v>
      </c>
      <c r="D3" s="3" t="str">
        <f>IFERROR(__xludf.DUMMYFUNCTION("""COMPUTED_VALUE"""),"判定")</f>
        <v>判定</v>
      </c>
      <c r="E3" s="3" t="str">
        <f>IFERROR(__xludf.DUMMYFUNCTION("""COMPUTED_VALUE"""),"url(旧)")</f>
        <v>url(旧)</v>
      </c>
    </row>
    <row r="4">
      <c r="A4" s="2" t="str">
        <f t="shared" ref="A4:A121" si="1">TEXT(8000 + ROW() -4,"00000")</f>
        <v>08000</v>
      </c>
      <c r="B4" s="3" t="str">
        <f>IFERROR(__xludf.DUMMYFUNCTION("""COMPUTED_VALUE"""),"ハーモニースペース")</f>
        <v>ハーモニースペース</v>
      </c>
      <c r="C4" s="3"/>
      <c r="D4" s="4" t="str">
        <f>IFERROR(__xludf.DUMMYFUNCTION("""COMPUTED_VALUE"""),"△")</f>
        <v>△</v>
      </c>
      <c r="E4" s="5" t="str">
        <f>IFERROR(__xludf.DUMMYFUNCTION("""COMPUTED_VALUE"""),"https://harmonyspace.life.coocan.jp")</f>
        <v>https://harmonyspace.life.coocan.jp</v>
      </c>
      <c r="F4" s="6" t="s">
        <v>11</v>
      </c>
      <c r="J4" s="2">
        <v>1.0</v>
      </c>
    </row>
    <row r="5">
      <c r="A5" s="2" t="str">
        <f t="shared" si="1"/>
        <v>08001</v>
      </c>
      <c r="B5" s="3" t="str">
        <f>IFERROR(__xludf.DUMMYFUNCTION("""COMPUTED_VALUE"""),"アロマテラピー&amp;ハワイアンフラOHANA")</f>
        <v>アロマテラピー&amp;ハワイアンフラOHANA</v>
      </c>
      <c r="C5" s="3" t="str">
        <f>IFERROR(__xludf.DUMMYFUNCTION("""COMPUTED_VALUE"""),"makiko@ohana.st")</f>
        <v>makiko@ohana.st</v>
      </c>
      <c r="D5" s="3" t="str">
        <f>IFERROR(__xludf.DUMMYFUNCTION("""COMPUTED_VALUE"""),"△")</f>
        <v>△</v>
      </c>
      <c r="E5" s="5" t="str">
        <f>IFERROR(__xludf.DUMMYFUNCTION("""COMPUTED_VALUE"""),"https://www.makiko-love.com/")</f>
        <v>https://www.makiko-love.com/</v>
      </c>
      <c r="F5" s="6" t="s">
        <v>12</v>
      </c>
      <c r="J5" s="2">
        <v>1.0</v>
      </c>
    </row>
    <row r="6">
      <c r="A6" s="2" t="str">
        <f t="shared" si="1"/>
        <v>08002</v>
      </c>
      <c r="B6" s="3" t="str">
        <f>IFERROR(__xludf.DUMMYFUNCTION("""COMPUTED_VALUE"""),"カウンセリングルームインナーヴォイス")</f>
        <v>カウンセリングルームインナーヴォイス</v>
      </c>
      <c r="C6" s="3" t="str">
        <f>IFERROR(__xludf.DUMMYFUNCTION("""COMPUTED_VALUE"""),"therapy.innervoice@gmail.com")</f>
        <v>therapy.innervoice@gmail.com</v>
      </c>
      <c r="D6" s="3" t="str">
        <f>IFERROR(__xludf.DUMMYFUNCTION("""COMPUTED_VALUE"""),"△")</f>
        <v>△</v>
      </c>
      <c r="E6" s="5" t="str">
        <f>IFERROR(__xludf.DUMMYFUNCTION("""COMPUTED_VALUE"""),"http://hakomitherapy.web.fc2.com/sub3.html")</f>
        <v>http://hakomitherapy.web.fc2.com/sub3.html</v>
      </c>
      <c r="F6" s="6" t="s">
        <v>13</v>
      </c>
      <c r="J6" s="2">
        <v>1.0</v>
      </c>
    </row>
    <row r="7">
      <c r="A7" s="2" t="str">
        <f t="shared" si="1"/>
        <v>08003</v>
      </c>
      <c r="B7" s="3" t="str">
        <f>IFERROR(__xludf.DUMMYFUNCTION("""COMPUTED_VALUE"""),"昴の木")</f>
        <v>昴の木</v>
      </c>
      <c r="C7" s="3" t="str">
        <f>IFERROR(__xludf.DUMMYFUNCTION("""COMPUTED_VALUE"""),"info@subarunoki.com")</f>
        <v>info@subarunoki.com</v>
      </c>
      <c r="D7" s="3" t="str">
        <f>IFERROR(__xludf.DUMMYFUNCTION("""COMPUTED_VALUE"""),"△")</f>
        <v>△</v>
      </c>
      <c r="E7" s="5" t="str">
        <f>IFERROR(__xludf.DUMMYFUNCTION("""COMPUTED_VALUE"""),"http://www.subarunoki.com/")</f>
        <v>http://www.subarunoki.com/</v>
      </c>
      <c r="F7" s="6" t="s">
        <v>14</v>
      </c>
      <c r="J7" s="2">
        <v>1.0</v>
      </c>
    </row>
    <row r="8">
      <c r="A8" s="2" t="str">
        <f t="shared" si="1"/>
        <v>08004</v>
      </c>
      <c r="B8" s="3" t="str">
        <f>IFERROR(__xludf.DUMMYFUNCTION("""COMPUTED_VALUE"""),"天使庵")</f>
        <v>天使庵</v>
      </c>
      <c r="C8" s="3" t="str">
        <f>IFERROR(__xludf.DUMMYFUNCTION("""COMPUTED_VALUE"""),"Kenhorikawa2007@yahoo.co.jp")</f>
        <v>Kenhorikawa2007@yahoo.co.jp</v>
      </c>
      <c r="D8" s="3" t="str">
        <f>IFERROR(__xludf.DUMMYFUNCTION("""COMPUTED_VALUE"""),"△")</f>
        <v>△</v>
      </c>
      <c r="E8" s="5" t="str">
        <f>IFERROR(__xludf.DUMMYFUNCTION("""COMPUTED_VALUE"""),"https://tenshian.jimdofree.com/")</f>
        <v>https://tenshian.jimdofree.com/</v>
      </c>
      <c r="F8" s="6" t="s">
        <v>15</v>
      </c>
      <c r="J8" s="2">
        <v>1.0</v>
      </c>
    </row>
    <row r="9">
      <c r="A9" s="2" t="str">
        <f t="shared" si="1"/>
        <v>08005</v>
      </c>
      <c r="B9" s="3" t="str">
        <f>IFERROR(__xludf.DUMMYFUNCTION("""COMPUTED_VALUE"""),"ヒーリングｓｈｏｐ&amp;パワーストーン
バリハイ")</f>
        <v>ヒーリングｓｈｏｐ&amp;パワーストーン
バリハイ</v>
      </c>
      <c r="C9" s="3" t="str">
        <f>IFERROR(__xludf.DUMMYFUNCTION("""COMPUTED_VALUE"""),"peace@balihai-4rainbow.com")</f>
        <v>peace@balihai-4rainbow.com</v>
      </c>
      <c r="D9" s="3" t="str">
        <f>IFERROR(__xludf.DUMMYFUNCTION("""COMPUTED_VALUE"""),"△")</f>
        <v>△</v>
      </c>
      <c r="E9" s="5" t="str">
        <f>IFERROR(__xludf.DUMMYFUNCTION("""COMPUTED_VALUE"""),"http://www.balihai-4rainbow.com/index.htm")</f>
        <v>http://www.balihai-4rainbow.com/index.htm</v>
      </c>
      <c r="F9" s="6" t="s">
        <v>16</v>
      </c>
      <c r="J9" s="2">
        <v>1.0</v>
      </c>
    </row>
    <row r="10">
      <c r="A10" s="2" t="str">
        <f t="shared" si="1"/>
        <v>08006</v>
      </c>
      <c r="B10" s="3" t="str">
        <f>IFERROR(__xludf.DUMMYFUNCTION("""COMPUTED_VALUE"""),"占い・ヒーリングサロン
SHINRA－森羅－")</f>
        <v>占い・ヒーリングサロン
SHINRA－森羅－</v>
      </c>
      <c r="C10" s="3" t="str">
        <f>IFERROR(__xludf.DUMMYFUNCTION("""COMPUTED_VALUE"""),"shinra_session@i.softbank.jp")</f>
        <v>shinra_session@i.softbank.jp</v>
      </c>
      <c r="D10" s="3" t="str">
        <f>IFERROR(__xludf.DUMMYFUNCTION("""COMPUTED_VALUE"""),"△")</f>
        <v>△</v>
      </c>
      <c r="E10" s="5" t="str">
        <f>IFERROR(__xludf.DUMMYFUNCTION("""COMPUTED_VALUE"""),"http://shinra33.jp/")</f>
        <v>http://shinra33.jp/</v>
      </c>
      <c r="F10" s="6" t="s">
        <v>17</v>
      </c>
      <c r="J10" s="2">
        <v>1.0</v>
      </c>
    </row>
    <row r="11">
      <c r="A11" s="2" t="str">
        <f t="shared" si="1"/>
        <v>08007</v>
      </c>
      <c r="B11" s="3" t="str">
        <f>IFERROR(__xludf.DUMMYFUNCTION("""COMPUTED_VALUE"""),"光のサロン")</f>
        <v>光のサロン</v>
      </c>
      <c r="C11" s="3" t="str">
        <f>IFERROR(__xludf.DUMMYFUNCTION("""COMPUTED_VALUE"""),"office@light.st")</f>
        <v>office@light.st</v>
      </c>
      <c r="D11" s="3" t="str">
        <f>IFERROR(__xludf.DUMMYFUNCTION("""COMPUTED_VALUE"""),"△")</f>
        <v>△</v>
      </c>
      <c r="E11" s="5" t="str">
        <f>IFERROR(__xludf.DUMMYFUNCTION("""COMPUTED_VALUE"""),"https://light.st/")</f>
        <v>https://light.st/</v>
      </c>
      <c r="F11" s="6" t="s">
        <v>18</v>
      </c>
      <c r="J11" s="2">
        <v>1.0</v>
      </c>
    </row>
    <row r="12">
      <c r="A12" s="2" t="str">
        <f t="shared" si="1"/>
        <v>08008</v>
      </c>
      <c r="B12" s="3" t="str">
        <f>IFERROR(__xludf.DUMMYFUNCTION("""COMPUTED_VALUE"""),"Spirit Hire Artist Malama Crystal")</f>
        <v>Spirit Hire Artist Malama Crystal</v>
      </c>
      <c r="C12" s="3" t="str">
        <f>IFERROR(__xludf.DUMMYFUNCTION("""COMPUTED_VALUE"""),"malama6crystal@gmail.com")</f>
        <v>malama6crystal@gmail.com</v>
      </c>
      <c r="D12" s="3" t="str">
        <f>IFERROR(__xludf.DUMMYFUNCTION("""COMPUTED_VALUE"""),"△")</f>
        <v>△</v>
      </c>
      <c r="E12" s="5" t="str">
        <f>IFERROR(__xludf.DUMMYFUNCTION("""COMPUTED_VALUE"""),"https://lit.link/32961a2d-c4f1-4bd6-99e6-044af81fabf7")</f>
        <v>https://lit.link/32961a2d-c4f1-4bd6-99e6-044af81fabf7</v>
      </c>
      <c r="F12" s="6" t="s">
        <v>19</v>
      </c>
      <c r="J12" s="2">
        <v>1.0</v>
      </c>
    </row>
    <row r="13">
      <c r="A13" s="2" t="str">
        <f t="shared" si="1"/>
        <v>08009</v>
      </c>
      <c r="B13" s="3" t="str">
        <f>IFERROR(__xludf.DUMMYFUNCTION("""COMPUTED_VALUE"""),"Tetuko Healing Salon")</f>
        <v>Tetuko Healing Salon</v>
      </c>
      <c r="C13" s="3" t="str">
        <f>IFERROR(__xludf.DUMMYFUNCTION("""COMPUTED_VALUE"""),"hirochance111@yahoo.co.jp")</f>
        <v>hirochance111@yahoo.co.jp</v>
      </c>
      <c r="D13" s="3" t="str">
        <f>IFERROR(__xludf.DUMMYFUNCTION("""COMPUTED_VALUE"""),"△")</f>
        <v>△</v>
      </c>
      <c r="E13" s="5" t="str">
        <f>IFERROR(__xludf.DUMMYFUNCTION("""COMPUTED_VALUE"""),"https://tetukohealingsalon.com/index.html")</f>
        <v>https://tetukohealingsalon.com/index.html</v>
      </c>
      <c r="F13" s="6" t="s">
        <v>20</v>
      </c>
      <c r="J13" s="2">
        <v>1.0</v>
      </c>
    </row>
    <row r="14">
      <c r="A14" s="2" t="str">
        <f t="shared" si="1"/>
        <v>08010</v>
      </c>
      <c r="B14" s="3" t="str">
        <f>IFERROR(__xludf.DUMMYFUNCTION("""COMPUTED_VALUE"""),"Rose Aphrodite")</f>
        <v>Rose Aphrodite</v>
      </c>
      <c r="C14" s="5" t="str">
        <f>IFERROR(__xludf.DUMMYFUNCTION("""COMPUTED_VALUE"""),"http://www.roseaphrodite.com/contact.html")</f>
        <v>http://www.roseaphrodite.com/contact.html</v>
      </c>
      <c r="D14" s="3" t="str">
        <f>IFERROR(__xludf.DUMMYFUNCTION("""COMPUTED_VALUE"""),"△")</f>
        <v>△</v>
      </c>
      <c r="E14" s="5" t="str">
        <f>IFERROR(__xludf.DUMMYFUNCTION("""COMPUTED_VALUE"""),"http://www.roseaphrodite.com/index.php")</f>
        <v>http://www.roseaphrodite.com/index.php</v>
      </c>
      <c r="F14" s="6" t="s">
        <v>21</v>
      </c>
      <c r="J14" s="2">
        <v>1.0</v>
      </c>
    </row>
    <row r="15">
      <c r="A15" s="2" t="str">
        <f t="shared" si="1"/>
        <v>08011</v>
      </c>
      <c r="B15" s="3" t="str">
        <f>IFERROR(__xludf.DUMMYFUNCTION("""COMPUTED_VALUE"""),"Slange(スランジュ）")</f>
        <v>Slange(スランジュ）</v>
      </c>
      <c r="C15" s="3" t="str">
        <f>IFERROR(__xludf.DUMMYFUNCTION("""COMPUTED_VALUE"""),"miyuki3231115@gmail.com")</f>
        <v>miyuki3231115@gmail.com</v>
      </c>
      <c r="D15" s="3" t="str">
        <f>IFERROR(__xludf.DUMMYFUNCTION("""COMPUTED_VALUE"""),"△")</f>
        <v>△</v>
      </c>
      <c r="E15" s="5" t="str">
        <f>IFERROR(__xludf.DUMMYFUNCTION("""COMPUTED_VALUE"""),"https://slange-okazaki-m.jimdofree.com/")</f>
        <v>https://slange-okazaki-m.jimdofree.com/</v>
      </c>
      <c r="F15" s="6" t="s">
        <v>22</v>
      </c>
      <c r="J15" s="2">
        <v>1.0</v>
      </c>
    </row>
    <row r="16">
      <c r="A16" s="2" t="str">
        <f t="shared" si="1"/>
        <v>08012</v>
      </c>
      <c r="B16" s="3" t="str">
        <f>IFERROR(__xludf.DUMMYFUNCTION("""COMPUTED_VALUE"""),"マヤ暦サロンCib 凜星(riho)")</f>
        <v>マヤ暦サロンCib 凜星(riho)</v>
      </c>
      <c r="C16" s="3" t="str">
        <f>IFERROR(__xludf.DUMMYFUNCTION("""COMPUTED_VALUE"""),"yakko-cherry-82@docomo.ne.jp")</f>
        <v>yakko-cherry-82@docomo.ne.jp</v>
      </c>
      <c r="D16" s="3" t="str">
        <f>IFERROR(__xludf.DUMMYFUNCTION("""COMPUTED_VALUE"""),"△")</f>
        <v>△</v>
      </c>
      <c r="E16" s="5" t="str">
        <f>IFERROR(__xludf.DUMMYFUNCTION("""COMPUTED_VALUE"""),"https://www2.hp-ez.com/hp/mayacib/page1")</f>
        <v>https://www2.hp-ez.com/hp/mayacib/page1</v>
      </c>
      <c r="F16" s="6" t="s">
        <v>23</v>
      </c>
      <c r="J16" s="2">
        <v>1.0</v>
      </c>
    </row>
    <row r="17">
      <c r="A17" s="2" t="str">
        <f t="shared" si="1"/>
        <v>08013</v>
      </c>
      <c r="B17" s="3" t="str">
        <f>IFERROR(__xludf.DUMMYFUNCTION("""COMPUTED_VALUE"""),"占い喫酒場パーム")</f>
        <v>占い喫酒場パーム</v>
      </c>
      <c r="C17" s="5" t="str">
        <f>IFERROR(__xludf.DUMMYFUNCTION("""COMPUTED_VALUE"""),"https://www.instagram.com/palmmomoko?igsh=MTUzZjUwMzFtY2lsaA==")</f>
        <v>https://www.instagram.com/palmmomoko?igsh=MTUzZjUwMzFtY2lsaA==</v>
      </c>
      <c r="D17" s="3" t="str">
        <f>IFERROR(__xludf.DUMMYFUNCTION("""COMPUTED_VALUE"""),"△")</f>
        <v>△</v>
      </c>
      <c r="E17" s="3"/>
      <c r="F17" s="6" t="s">
        <v>24</v>
      </c>
      <c r="J17" s="2">
        <v>1.0</v>
      </c>
    </row>
    <row r="18">
      <c r="A18" s="2" t="str">
        <f t="shared" si="1"/>
        <v>08014</v>
      </c>
      <c r="B18" s="3" t="str">
        <f>IFERROR(__xludf.DUMMYFUNCTION("""COMPUTED_VALUE"""),"占いとカウンセリングの店COCO")</f>
        <v>占いとカウンセリングの店COCO</v>
      </c>
      <c r="C18" s="3" t="str">
        <f>IFERROR(__xludf.DUMMYFUNCTION("""COMPUTED_VALUE"""),"coco819-taos＠docomo.ne.jp")</f>
        <v>coco819-taos＠docomo.ne.jp</v>
      </c>
      <c r="D18" s="3" t="str">
        <f>IFERROR(__xludf.DUMMYFUNCTION("""COMPUTED_VALUE"""),"△")</f>
        <v>△</v>
      </c>
      <c r="E18" s="5" t="str">
        <f>IFERROR(__xludf.DUMMYFUNCTION("""COMPUTED_VALUE"""),"https://coco.sapr.jp/")</f>
        <v>https://coco.sapr.jp/</v>
      </c>
      <c r="F18" s="6" t="s">
        <v>25</v>
      </c>
      <c r="J18" s="2">
        <v>1.0</v>
      </c>
    </row>
    <row r="19">
      <c r="A19" s="2" t="str">
        <f t="shared" si="1"/>
        <v>08015</v>
      </c>
      <c r="B19" s="3" t="str">
        <f>IFERROR(__xludf.DUMMYFUNCTION("""COMPUTED_VALUE"""),"カウンセリングルーム札幌スマイル")</f>
        <v>カウンセリングルーム札幌スマイル</v>
      </c>
      <c r="C19" s="3" t="str">
        <f>IFERROR(__xludf.DUMMYFUNCTION("""COMPUTED_VALUE"""),"kaorin.smile99@gmail.com")</f>
        <v>kaorin.smile99@gmail.com</v>
      </c>
      <c r="D19" s="3" t="str">
        <f>IFERROR(__xludf.DUMMYFUNCTION("""COMPUTED_VALUE"""),"△")</f>
        <v>△</v>
      </c>
      <c r="E19" s="5" t="str">
        <f>IFERROR(__xludf.DUMMYFUNCTION("""COMPUTED_VALUE"""),"https://kaorin-smile.com/2026/01/")</f>
        <v>https://kaorin-smile.com/2026/01/</v>
      </c>
      <c r="F19" s="6" t="s">
        <v>26</v>
      </c>
      <c r="J19" s="2">
        <v>1.0</v>
      </c>
    </row>
    <row r="20">
      <c r="A20" s="2" t="str">
        <f t="shared" si="1"/>
        <v>08016</v>
      </c>
      <c r="B20" s="3" t="str">
        <f>IFERROR(__xludf.DUMMYFUNCTION("""COMPUTED_VALUE"""),"ネイチャーヒーリングサロン～星の香り～")</f>
        <v>ネイチャーヒーリングサロン～星の香り～</v>
      </c>
      <c r="C20" s="5" t="str">
        <f>IFERROR(__xludf.DUMMYFUNCTION("""COMPUTED_VALUE"""),"https://hoshino-kaori.com/menu/#i-2")</f>
        <v>https://hoshino-kaori.com/menu/#i-2</v>
      </c>
      <c r="D20" s="3" t="str">
        <f>IFERROR(__xludf.DUMMYFUNCTION("""COMPUTED_VALUE"""),"△")</f>
        <v>△</v>
      </c>
      <c r="E20" s="5" t="str">
        <f>IFERROR(__xludf.DUMMYFUNCTION("""COMPUTED_VALUE"""),"https://hoshino-kaori.com/")</f>
        <v>https://hoshino-kaori.com/</v>
      </c>
      <c r="F20" s="7" t="s">
        <v>27</v>
      </c>
      <c r="J20" s="2">
        <v>1.0</v>
      </c>
    </row>
    <row r="21">
      <c r="A21" s="2" t="str">
        <f t="shared" si="1"/>
        <v>08017</v>
      </c>
      <c r="B21" s="3" t="str">
        <f>IFERROR(__xludf.DUMMYFUNCTION("""COMPUTED_VALUE"""),"ヒーリングセラフ")</f>
        <v>ヒーリングセラフ</v>
      </c>
      <c r="C21" s="5" t="str">
        <f>IFERROR(__xludf.DUMMYFUNCTION("""COMPUTED_VALUE"""),"https://www.healing-seraph.com/inquiry")</f>
        <v>https://www.healing-seraph.com/inquiry</v>
      </c>
      <c r="D21" s="3" t="str">
        <f>IFERROR(__xludf.DUMMYFUNCTION("""COMPUTED_VALUE"""),"△")</f>
        <v>△</v>
      </c>
      <c r="E21" s="5" t="str">
        <f>IFERROR(__xludf.DUMMYFUNCTION("""COMPUTED_VALUE"""),"https://www.healing-seraph.com/")</f>
        <v>https://www.healing-seraph.com/</v>
      </c>
      <c r="F21" s="6" t="s">
        <v>28</v>
      </c>
      <c r="J21" s="2">
        <v>1.0</v>
      </c>
    </row>
    <row r="22">
      <c r="A22" s="2" t="str">
        <f t="shared" si="1"/>
        <v>08018</v>
      </c>
      <c r="B22" s="3" t="str">
        <f>IFERROR(__xludf.DUMMYFUNCTION("""COMPUTED_VALUE"""),"はーとふるサロン【出張専門ヒーリングサロン】")</f>
        <v>はーとふるサロン【出張専門ヒーリングサロン】</v>
      </c>
      <c r="C22" s="5" t="str">
        <f>IFERROR(__xludf.DUMMYFUNCTION("""COMPUTED_VALUE"""),"https://heartfulai.wixsite.com/salon/contact")</f>
        <v>https://heartfulai.wixsite.com/salon/contact</v>
      </c>
      <c r="D22" s="3" t="str">
        <f>IFERROR(__xludf.DUMMYFUNCTION("""COMPUTED_VALUE"""),"△")</f>
        <v>△</v>
      </c>
      <c r="E22" s="5" t="str">
        <f>IFERROR(__xludf.DUMMYFUNCTION("""COMPUTED_VALUE"""),"https://heartfulai.wixsite.com/salon")</f>
        <v>https://heartfulai.wixsite.com/salon</v>
      </c>
      <c r="F22" s="6" t="s">
        <v>29</v>
      </c>
    </row>
    <row r="23">
      <c r="A23" s="2" t="str">
        <f t="shared" si="1"/>
        <v>08019</v>
      </c>
      <c r="B23" s="3" t="str">
        <f>IFERROR(__xludf.DUMMYFUNCTION("""COMPUTED_VALUE"""),"ホリスティックサロン ぴりかイソラ")</f>
        <v>ホリスティックサロン ぴりかイソラ</v>
      </c>
      <c r="C23" s="5" t="str">
        <f>IFERROR(__xludf.DUMMYFUNCTION("""COMPUTED_VALUE"""),"https://isola88.jimdofree.com/%E3%81%8A%E5%95%8F%E3%81%84%E5%90%88%E3%82%8F%E3%81%9B/")</f>
        <v>https://isola88.jimdofree.com/%E3%81%8A%E5%95%8F%E3%81%84%E5%90%88%E3%82%8F%E3%81%9B/</v>
      </c>
      <c r="D23" s="3" t="str">
        <f>IFERROR(__xludf.DUMMYFUNCTION("""COMPUTED_VALUE"""),"△")</f>
        <v>△</v>
      </c>
      <c r="E23" s="5" t="str">
        <f>IFERROR(__xludf.DUMMYFUNCTION("""COMPUTED_VALUE"""),"https://isola88.jimdofree.com/")</f>
        <v>https://isola88.jimdofree.com/</v>
      </c>
      <c r="F23" s="6" t="s">
        <v>30</v>
      </c>
    </row>
    <row r="24">
      <c r="A24" s="2" t="str">
        <f t="shared" si="1"/>
        <v>08020</v>
      </c>
      <c r="B24" s="3" t="str">
        <f>IFERROR(__xludf.DUMMYFUNCTION("""COMPUTED_VALUE"""),"アロマ&amp;ボディヒーリング ティダアヤ")</f>
        <v>アロマ&amp;ボディヒーリング ティダアヤ</v>
      </c>
      <c r="C24" s="5" t="str">
        <f>IFERROR(__xludf.DUMMYFUNCTION("""COMPUTED_VALUE"""),"https://tida-aya.hp.peraichi.com/otoiawase")</f>
        <v>https://tida-aya.hp.peraichi.com/otoiawase</v>
      </c>
      <c r="D24" s="3" t="str">
        <f>IFERROR(__xludf.DUMMYFUNCTION("""COMPUTED_VALUE"""),"△")</f>
        <v>△</v>
      </c>
      <c r="E24" s="5" t="str">
        <f>IFERROR(__xludf.DUMMYFUNCTION("""COMPUTED_VALUE"""),"https://tidaya.com/")</f>
        <v>https://tidaya.com/</v>
      </c>
      <c r="F24" s="6" t="s">
        <v>31</v>
      </c>
    </row>
    <row r="25">
      <c r="A25" s="2" t="str">
        <f t="shared" si="1"/>
        <v>08021</v>
      </c>
      <c r="B25" s="3" t="str">
        <f>IFERROR(__xludf.DUMMYFUNCTION("""COMPUTED_VALUE"""),"ヒーリングサロン朝")</f>
        <v>ヒーリングサロン朝</v>
      </c>
      <c r="C25" s="5" t="str">
        <f>IFERROR(__xludf.DUMMYFUNCTION("""COMPUTED_VALUE"""),"https://ws.formzu.net/sfgen/S26435976/")</f>
        <v>https://ws.formzu.net/sfgen/S26435976/</v>
      </c>
      <c r="D25" s="3" t="str">
        <f>IFERROR(__xludf.DUMMYFUNCTION("""COMPUTED_VALUE"""),"△")</f>
        <v>△</v>
      </c>
      <c r="E25" s="5" t="str">
        <f>IFERROR(__xludf.DUMMYFUNCTION("""COMPUTED_VALUE"""),"https://sites.google.com/view/healingsalonasa/")</f>
        <v>https://sites.google.com/view/healingsalonasa/</v>
      </c>
      <c r="F25" s="7" t="s">
        <v>32</v>
      </c>
    </row>
    <row r="26">
      <c r="A26" s="2" t="str">
        <f t="shared" si="1"/>
        <v>08022</v>
      </c>
      <c r="B26" s="3" t="str">
        <f>IFERROR(__xludf.DUMMYFUNCTION("""COMPUTED_VALUE"""),"La malama")</f>
        <v>La malama</v>
      </c>
      <c r="C26" s="5" t="str">
        <f>IFERROR(__xludf.DUMMYFUNCTION("""COMPUTED_VALUE"""),"https://la-malama.jp/contact")</f>
        <v>https://la-malama.jp/contact</v>
      </c>
      <c r="D26" s="3" t="str">
        <f>IFERROR(__xludf.DUMMYFUNCTION("""COMPUTED_VALUE"""),"△")</f>
        <v>△</v>
      </c>
      <c r="E26" s="5" t="str">
        <f>IFERROR(__xludf.DUMMYFUNCTION("""COMPUTED_VALUE"""),"https://la-malama.jp/")</f>
        <v>https://la-malama.jp/</v>
      </c>
      <c r="F26" s="6" t="s">
        <v>33</v>
      </c>
    </row>
    <row r="27">
      <c r="A27" s="2" t="str">
        <f t="shared" si="1"/>
        <v>08023</v>
      </c>
      <c r="B27" s="3" t="str">
        <f>IFERROR(__xludf.DUMMYFUNCTION("""COMPUTED_VALUE"""),"body mental salon TAKEDA")</f>
        <v>body mental salon TAKEDA</v>
      </c>
      <c r="C27" s="3" t="str">
        <f>IFERROR(__xludf.DUMMYFUNCTION("""COMPUTED_VALUE"""),"uzuzuz8@gmail.com")</f>
        <v>uzuzuz8@gmail.com</v>
      </c>
      <c r="D27" s="3" t="str">
        <f>IFERROR(__xludf.DUMMYFUNCTION("""COMPUTED_VALUE"""),"△")</f>
        <v>△</v>
      </c>
      <c r="E27" s="5" t="str">
        <f>IFERROR(__xludf.DUMMYFUNCTION("""COMPUTED_VALUE"""),"https://www.mamal888.com/?utm_source=google&amp;utm_medium=maps")</f>
        <v>https://www.mamal888.com/?utm_source=google&amp;utm_medium=maps</v>
      </c>
      <c r="F27" s="6" t="s">
        <v>34</v>
      </c>
    </row>
    <row r="28">
      <c r="A28" s="2" t="str">
        <f t="shared" si="1"/>
        <v>08024</v>
      </c>
      <c r="B28" s="3" t="str">
        <f>IFERROR(__xludf.DUMMYFUNCTION("""COMPUTED_VALUE"""),"癒し処 Harmony")</f>
        <v>癒し処 Harmony</v>
      </c>
      <c r="C28" s="5" t="str">
        <f>IFERROR(__xludf.DUMMYFUNCTION("""COMPUTED_VALUE"""),"https://www.harmony-6.com/%E3%81%94%E4%BA%88%E7%B4%84-%E3%81%8A%E5%95%8F%E5%90%88%E3%82%8F%E3%81%9B/")</f>
        <v>https://www.harmony-6.com/%E3%81%94%E4%BA%88%E7%B4%84-%E3%81%8A%E5%95%8F%E5%90%88%E3%82%8F%E3%81%9B/</v>
      </c>
      <c r="D28" s="3" t="str">
        <f>IFERROR(__xludf.DUMMYFUNCTION("""COMPUTED_VALUE"""),"△")</f>
        <v>△</v>
      </c>
      <c r="E28" s="5" t="str">
        <f>IFERROR(__xludf.DUMMYFUNCTION("""COMPUTED_VALUE"""),"https://www.harmony-6.com/")</f>
        <v>https://www.harmony-6.com/</v>
      </c>
      <c r="F28" s="6" t="s">
        <v>35</v>
      </c>
    </row>
    <row r="29">
      <c r="A29" s="2" t="str">
        <f t="shared" si="1"/>
        <v>08025</v>
      </c>
      <c r="B29" s="3" t="str">
        <f>IFERROR(__xludf.DUMMYFUNCTION("""COMPUTED_VALUE"""),"癒し手 精體稀煌（いやして せいたいきこう）")</f>
        <v>癒し手 精體稀煌（いやして せいたいきこう）</v>
      </c>
      <c r="C29" s="3" t="str">
        <f>IFERROR(__xludf.DUMMYFUNCTION("""COMPUTED_VALUE"""),"iyashite.seitaikikou@gmail.com")</f>
        <v>iyashite.seitaikikou@gmail.com</v>
      </c>
      <c r="D29" s="3" t="str">
        <f>IFERROR(__xludf.DUMMYFUNCTION("""COMPUTED_VALUE"""),"△")</f>
        <v>△</v>
      </c>
      <c r="E29" s="5" t="str">
        <f>IFERROR(__xludf.DUMMYFUNCTION("""COMPUTED_VALUE"""),"https://www.iyashite-seitaikikou.com/")</f>
        <v>https://www.iyashite-seitaikikou.com/</v>
      </c>
      <c r="F29" s="6" t="s">
        <v>36</v>
      </c>
    </row>
    <row r="30">
      <c r="A30" s="2" t="str">
        <f t="shared" si="1"/>
        <v>08026</v>
      </c>
      <c r="B30" s="3" t="str">
        <f>IFERROR(__xludf.DUMMYFUNCTION("""COMPUTED_VALUE"""),"ヒーリングサロンさきはな")</f>
        <v>ヒーリングサロンさきはな</v>
      </c>
      <c r="C30" s="3" t="str">
        <f>IFERROR(__xludf.DUMMYFUNCTION("""COMPUTED_VALUE"""),"salon.saki.hana@gmail.com")</f>
        <v>salon.saki.hana@gmail.com</v>
      </c>
      <c r="D30" s="3" t="str">
        <f>IFERROR(__xludf.DUMMYFUNCTION("""COMPUTED_VALUE"""),"△")</f>
        <v>△</v>
      </c>
      <c r="E30" s="5" t="str">
        <f>IFERROR(__xludf.DUMMYFUNCTION("""COMPUTED_VALUE"""),"https://salonsakihana.amebaownd.com/")</f>
        <v>https://salonsakihana.amebaownd.com/</v>
      </c>
      <c r="F30" s="6" t="s">
        <v>37</v>
      </c>
    </row>
    <row r="31">
      <c r="A31" s="2" t="str">
        <f t="shared" si="1"/>
        <v>08027</v>
      </c>
      <c r="B31" s="3" t="str">
        <f>IFERROR(__xludf.DUMMYFUNCTION("""COMPUTED_VALUE"""),"Happy∞Smile")</f>
        <v>Happy∞Smile</v>
      </c>
      <c r="C31" s="3" t="str">
        <f>IFERROR(__xludf.DUMMYFUNCTION("""COMPUTED_VALUE"""),"hapi_suma_25@yahoo.co.jp")</f>
        <v>hapi_suma_25@yahoo.co.jp</v>
      </c>
      <c r="D31" s="3" t="str">
        <f>IFERROR(__xludf.DUMMYFUNCTION("""COMPUTED_VALUE"""),"△")</f>
        <v>△</v>
      </c>
      <c r="E31" s="5" t="str">
        <f>IFERROR(__xludf.DUMMYFUNCTION("""COMPUTED_VALUE"""),"https://happy8smile25.crayonsite.com/")</f>
        <v>https://happy8smile25.crayonsite.com/</v>
      </c>
      <c r="F31" s="6" t="s">
        <v>38</v>
      </c>
    </row>
    <row r="32">
      <c r="A32" s="2" t="str">
        <f t="shared" si="1"/>
        <v>08028</v>
      </c>
      <c r="B32" s="3" t="str">
        <f>IFERROR(__xludf.DUMMYFUNCTION("""COMPUTED_VALUE"""),"癒しのサロン ウイングハート")</f>
        <v>癒しのサロン ウイングハート</v>
      </c>
      <c r="C32" s="5" t="str">
        <f>IFERROR(__xludf.DUMMYFUNCTION("""COMPUTED_VALUE"""),"https://wingheart-hand.crayonsite.com/#cbox-open")</f>
        <v>https://wingheart-hand.crayonsite.com/#cbox-open</v>
      </c>
      <c r="D32" s="3" t="str">
        <f>IFERROR(__xludf.DUMMYFUNCTION("""COMPUTED_VALUE"""),"△")</f>
        <v>△</v>
      </c>
      <c r="E32" s="5" t="str">
        <f>IFERROR(__xludf.DUMMYFUNCTION("""COMPUTED_VALUE"""),"https://wingheart-hand.crayonsite.com/")</f>
        <v>https://wingheart-hand.crayonsite.com/</v>
      </c>
      <c r="F32" s="6" t="s">
        <v>39</v>
      </c>
    </row>
    <row r="33">
      <c r="A33" s="2" t="str">
        <f t="shared" si="1"/>
        <v>08029</v>
      </c>
      <c r="B33" s="3" t="str">
        <f>IFERROR(__xludf.DUMMYFUNCTION("""COMPUTED_VALUE"""),"子宮ケア専門サロン Essence")</f>
        <v>子宮ケア専門サロン Essence</v>
      </c>
      <c r="C33" s="3" t="str">
        <f>IFERROR(__xludf.DUMMYFUNCTION("""COMPUTED_VALUE"""),"lucky.star83716@gmail.com")</f>
        <v>lucky.star83716@gmail.com</v>
      </c>
      <c r="D33" s="3" t="str">
        <f>IFERROR(__xludf.DUMMYFUNCTION("""COMPUTED_VALUE"""),"△")</f>
        <v>△</v>
      </c>
      <c r="E33" s="5" t="str">
        <f>IFERROR(__xludf.DUMMYFUNCTION("""COMPUTED_VALUE"""),"https://loving-message716.jimdofree.com/%E3%83%A1%E3%83%8B%E3%83%A5%E3%83%BC/")</f>
        <v>https://loving-message716.jimdofree.com/%E3%83%A1%E3%83%8B%E3%83%A5%E3%83%BC/</v>
      </c>
      <c r="F33" s="6" t="s">
        <v>40</v>
      </c>
    </row>
    <row r="34">
      <c r="A34" s="2" t="str">
        <f t="shared" si="1"/>
        <v>08030</v>
      </c>
      <c r="B34" s="3" t="str">
        <f>IFERROR(__xludf.DUMMYFUNCTION("""COMPUTED_VALUE"""),"ヘナ＆ヒーリングオクタキ")</f>
        <v>ヘナ＆ヒーリングオクタキ</v>
      </c>
      <c r="C34" s="5" t="str">
        <f>IFERROR(__xludf.DUMMYFUNCTION("""COMPUTED_VALUE"""),"https://www.okutaki.com/form.php")</f>
        <v>https://www.okutaki.com/form.php</v>
      </c>
      <c r="D34" s="3" t="str">
        <f>IFERROR(__xludf.DUMMYFUNCTION("""COMPUTED_VALUE"""),"△")</f>
        <v>△</v>
      </c>
      <c r="E34" s="5" t="str">
        <f>IFERROR(__xludf.DUMMYFUNCTION("""COMPUTED_VALUE"""),"https://www.okutaki.com/")</f>
        <v>https://www.okutaki.com/</v>
      </c>
      <c r="F34" s="6" t="s">
        <v>41</v>
      </c>
    </row>
    <row r="35">
      <c r="A35" s="2" t="str">
        <f t="shared" si="1"/>
        <v>08031</v>
      </c>
      <c r="B35" s="3" t="str">
        <f>IFERROR(__xludf.DUMMYFUNCTION("""COMPUTED_VALUE"""),"ローザ・ジャルディーノ・オプラ")</f>
        <v>ローザ・ジャルディーノ・オプラ</v>
      </c>
      <c r="C35" s="3" t="str">
        <f>IFERROR(__xludf.DUMMYFUNCTION("""COMPUTED_VALUE"""),"aqua-jpn@bz03.plala.or.jp")</f>
        <v>aqua-jpn@bz03.plala.or.jp</v>
      </c>
      <c r="D35" s="3" t="str">
        <f>IFERROR(__xludf.DUMMYFUNCTION("""COMPUTED_VALUE"""),"△")</f>
        <v>△</v>
      </c>
      <c r="E35" s="5" t="str">
        <f>IFERROR(__xludf.DUMMYFUNCTION("""COMPUTED_VALUE"""),"https://rosagiardinoopla.jimdofree.com/")</f>
        <v>https://rosagiardinoopla.jimdofree.com/</v>
      </c>
      <c r="F35" s="6" t="s">
        <v>42</v>
      </c>
    </row>
    <row r="36">
      <c r="A36" s="2" t="str">
        <f t="shared" si="1"/>
        <v>08032</v>
      </c>
      <c r="B36" s="3" t="str">
        <f>IFERROR(__xludf.DUMMYFUNCTION("""COMPUTED_VALUE"""),"女性サロン　こころ")</f>
        <v>女性サロン　こころ</v>
      </c>
      <c r="C36" s="3" t="str">
        <f>IFERROR(__xludf.DUMMYFUNCTION("""COMPUTED_VALUE"""),"tensi.cocoa44@gmail.com")</f>
        <v>tensi.cocoa44@gmail.com</v>
      </c>
      <c r="D36" s="3" t="str">
        <f>IFERROR(__xludf.DUMMYFUNCTION("""COMPUTED_VALUE"""),"△")</f>
        <v>△</v>
      </c>
      <c r="E36" s="5" t="str">
        <f>IFERROR(__xludf.DUMMYFUNCTION("""COMPUTED_VALUE"""),"https://www.cocoro.pink/")</f>
        <v>https://www.cocoro.pink/</v>
      </c>
      <c r="F36" s="6" t="s">
        <v>43</v>
      </c>
    </row>
    <row r="37">
      <c r="A37" s="2" t="str">
        <f t="shared" si="1"/>
        <v>08033</v>
      </c>
      <c r="B37" s="3" t="str">
        <f>IFERROR(__xludf.DUMMYFUNCTION("""COMPUTED_VALUE"""),"デトックスサロン花の樹")</f>
        <v>デトックスサロン花の樹</v>
      </c>
      <c r="C37" s="5" t="str">
        <f>IFERROR(__xludf.DUMMYFUNCTION("""COMPUTED_VALUE"""),"https://cs60-hananoki.jimdosite.com/%E3%81%8A%E5%95%8F%E3%81%84%E5%90%88%E3%82%8F%E3%81%9B/")</f>
        <v>https://cs60-hananoki.jimdosite.com/%E3%81%8A%E5%95%8F%E3%81%84%E5%90%88%E3%82%8F%E3%81%9B/</v>
      </c>
      <c r="D37" s="3" t="str">
        <f>IFERROR(__xludf.DUMMYFUNCTION("""COMPUTED_VALUE"""),"△")</f>
        <v>△</v>
      </c>
      <c r="E37" s="5" t="str">
        <f>IFERROR(__xludf.DUMMYFUNCTION("""COMPUTED_VALUE"""),"https://cs60-hananoki.jimdosite.com/")</f>
        <v>https://cs60-hananoki.jimdosite.com/</v>
      </c>
      <c r="F37" s="6" t="s">
        <v>44</v>
      </c>
    </row>
    <row r="38">
      <c r="A38" s="2" t="str">
        <f t="shared" si="1"/>
        <v>08034</v>
      </c>
      <c r="F38" s="6" t="s">
        <v>45</v>
      </c>
    </row>
    <row r="39">
      <c r="A39" s="2" t="str">
        <f t="shared" si="1"/>
        <v>08035</v>
      </c>
      <c r="F39" s="6" t="s">
        <v>46</v>
      </c>
    </row>
    <row r="40">
      <c r="A40" s="2" t="str">
        <f t="shared" si="1"/>
        <v>08036</v>
      </c>
      <c r="F40" s="6" t="s">
        <v>47</v>
      </c>
    </row>
    <row r="41">
      <c r="A41" s="2" t="str">
        <f t="shared" si="1"/>
        <v>08037</v>
      </c>
      <c r="F41" s="6" t="s">
        <v>48</v>
      </c>
    </row>
    <row r="42">
      <c r="A42" s="2" t="str">
        <f t="shared" si="1"/>
        <v>08038</v>
      </c>
      <c r="F42" s="6" t="s">
        <v>49</v>
      </c>
    </row>
    <row r="43">
      <c r="A43" s="2" t="str">
        <f t="shared" si="1"/>
        <v>08039</v>
      </c>
      <c r="F43" s="6" t="s">
        <v>50</v>
      </c>
    </row>
    <row r="44">
      <c r="A44" s="2" t="str">
        <f t="shared" si="1"/>
        <v>08040</v>
      </c>
      <c r="F44" s="6" t="s">
        <v>51</v>
      </c>
    </row>
    <row r="45">
      <c r="A45" s="2" t="str">
        <f t="shared" si="1"/>
        <v>08041</v>
      </c>
      <c r="F45" s="6" t="s">
        <v>52</v>
      </c>
    </row>
    <row r="46">
      <c r="A46" s="2" t="str">
        <f t="shared" si="1"/>
        <v>08042</v>
      </c>
      <c r="F46" s="6" t="s">
        <v>53</v>
      </c>
    </row>
    <row r="47">
      <c r="A47" s="2" t="str">
        <f t="shared" si="1"/>
        <v>08043</v>
      </c>
      <c r="F47" s="6" t="s">
        <v>54</v>
      </c>
    </row>
    <row r="48">
      <c r="A48" s="2" t="str">
        <f t="shared" si="1"/>
        <v>08044</v>
      </c>
      <c r="F48" s="6" t="s">
        <v>55</v>
      </c>
    </row>
    <row r="49">
      <c r="A49" s="2" t="str">
        <f t="shared" si="1"/>
        <v>08045</v>
      </c>
      <c r="F49" s="6" t="s">
        <v>56</v>
      </c>
    </row>
    <row r="50">
      <c r="A50" s="2" t="str">
        <f t="shared" si="1"/>
        <v>08046</v>
      </c>
      <c r="F50" s="6" t="s">
        <v>57</v>
      </c>
    </row>
    <row r="51">
      <c r="A51" s="2" t="str">
        <f t="shared" si="1"/>
        <v>08047</v>
      </c>
      <c r="F51" s="6" t="s">
        <v>58</v>
      </c>
    </row>
    <row r="52">
      <c r="A52" s="2" t="str">
        <f t="shared" si="1"/>
        <v>08048</v>
      </c>
      <c r="F52" s="6" t="s">
        <v>59</v>
      </c>
    </row>
    <row r="53">
      <c r="A53" s="2" t="str">
        <f t="shared" si="1"/>
        <v>08049</v>
      </c>
      <c r="F53" s="6" t="s">
        <v>60</v>
      </c>
    </row>
    <row r="54">
      <c r="A54" s="2" t="str">
        <f t="shared" si="1"/>
        <v>08050</v>
      </c>
      <c r="F54" s="6" t="s">
        <v>61</v>
      </c>
    </row>
    <row r="55">
      <c r="A55" s="2" t="str">
        <f t="shared" si="1"/>
        <v>08051</v>
      </c>
      <c r="F55" s="6" t="s">
        <v>62</v>
      </c>
    </row>
    <row r="56">
      <c r="A56" s="2" t="str">
        <f t="shared" si="1"/>
        <v>08052</v>
      </c>
      <c r="F56" s="6" t="s">
        <v>63</v>
      </c>
    </row>
    <row r="57">
      <c r="A57" s="2" t="str">
        <f t="shared" si="1"/>
        <v>08053</v>
      </c>
      <c r="F57" s="6" t="s">
        <v>64</v>
      </c>
    </row>
    <row r="58">
      <c r="A58" s="2" t="str">
        <f t="shared" si="1"/>
        <v>08054</v>
      </c>
      <c r="F58" s="6" t="s">
        <v>65</v>
      </c>
    </row>
    <row r="59">
      <c r="A59" s="2" t="str">
        <f t="shared" si="1"/>
        <v>08055</v>
      </c>
      <c r="F59" s="6" t="s">
        <v>66</v>
      </c>
    </row>
    <row r="60">
      <c r="A60" s="2" t="str">
        <f t="shared" si="1"/>
        <v>08056</v>
      </c>
      <c r="B60" s="3" t="str">
        <f>IFERROR(__xludf.DUMMYFUNCTION("QUERY('愛知'!A:D, ""select * where C='△'"", 1)"),"店舗名")</f>
        <v>店舗名</v>
      </c>
      <c r="C60" s="3" t="str">
        <f>IFERROR(__xludf.DUMMYFUNCTION("""COMPUTED_VALUE"""),"メアド")</f>
        <v>メアド</v>
      </c>
      <c r="D60" s="3" t="str">
        <f>IFERROR(__xludf.DUMMYFUNCTION("""COMPUTED_VALUE"""),"判定")</f>
        <v>判定</v>
      </c>
      <c r="E60" s="3" t="str">
        <f>IFERROR(__xludf.DUMMYFUNCTION("""COMPUTED_VALUE"""),"URLリンク")</f>
        <v>URLリンク</v>
      </c>
      <c r="F60" s="6" t="s">
        <v>67</v>
      </c>
    </row>
    <row r="61">
      <c r="A61" s="2" t="str">
        <f t="shared" si="1"/>
        <v>08057</v>
      </c>
      <c r="B61" s="3" t="str">
        <f>IFERROR(__xludf.DUMMYFUNCTION("""COMPUTED_VALUE"""),"隠れ家Salon Ailes d’ange")</f>
        <v>隠れ家Salon Ailes d’ange</v>
      </c>
      <c r="C61" s="5" t="str">
        <f>IFERROR(__xludf.DUMMYFUNCTION("""COMPUTED_VALUE"""),"https://smart.reservestock.jp/inquiry_form/inquiry_form/142983")</f>
        <v>https://smart.reservestock.jp/inquiry_form/inquiry_form/142983</v>
      </c>
      <c r="D61" s="3" t="str">
        <f>IFERROR(__xludf.DUMMYFUNCTION("""COMPUTED_VALUE"""),"△")</f>
        <v>△</v>
      </c>
      <c r="E61" s="5" t="str">
        <f>IFERROR(__xludf.DUMMYFUNCTION("""COMPUTED_VALUE"""),"https://smart.reservestock.jp/58861")</f>
        <v>https://smart.reservestock.jp/58861</v>
      </c>
      <c r="F61" s="6" t="s">
        <v>68</v>
      </c>
    </row>
    <row r="62">
      <c r="A62" s="2" t="str">
        <f t="shared" si="1"/>
        <v>08058</v>
      </c>
      <c r="B62" s="3" t="str">
        <f>IFERROR(__xludf.DUMMYFUNCTION("""COMPUTED_VALUE"""),"ハンドヒーリングアフェクションともゑ塾")</f>
        <v>ハンドヒーリングアフェクションともゑ塾</v>
      </c>
      <c r="C62" s="5" t="str">
        <f>IFERROR(__xludf.DUMMYFUNCTION("""COMPUTED_VALUE"""),"https://r.goope.jp/hha-okamura/contact")</f>
        <v>https://r.goope.jp/hha-okamura/contact</v>
      </c>
      <c r="D62" s="3" t="str">
        <f>IFERROR(__xludf.DUMMYFUNCTION("""COMPUTED_VALUE"""),"△")</f>
        <v>△</v>
      </c>
      <c r="E62" s="5" t="str">
        <f>IFERROR(__xludf.DUMMYFUNCTION("""COMPUTED_VALUE"""),"https://r.goope.jp/hha-okamura/")</f>
        <v>https://r.goope.jp/hha-okamura/</v>
      </c>
      <c r="F62" s="6" t="s">
        <v>69</v>
      </c>
    </row>
    <row r="63">
      <c r="A63" s="2" t="str">
        <f t="shared" si="1"/>
        <v>08059</v>
      </c>
      <c r="B63" s="3" t="str">
        <f>IFERROR(__xludf.DUMMYFUNCTION("""COMPUTED_VALUE"""),"ヒーリングルームQoricanchaコリカンチャ")</f>
        <v>ヒーリングルームQoricanchaコリカンチャ</v>
      </c>
      <c r="C63" s="5" t="str">
        <f>IFERROR(__xludf.DUMMYFUNCTION("""COMPUTED_VALUE"""),"https://www.qoricancha.com/contact")</f>
        <v>https://www.qoricancha.com/contact</v>
      </c>
      <c r="D63" s="3" t="str">
        <f>IFERROR(__xludf.DUMMYFUNCTION("""COMPUTED_VALUE"""),"△")</f>
        <v>△</v>
      </c>
      <c r="E63" s="5" t="str">
        <f>IFERROR(__xludf.DUMMYFUNCTION("""COMPUTED_VALUE"""),"https://www.qoricancha.com/")</f>
        <v>https://www.qoricancha.com/</v>
      </c>
      <c r="F63" s="6" t="s">
        <v>70</v>
      </c>
    </row>
    <row r="64">
      <c r="A64" s="2" t="str">
        <f t="shared" si="1"/>
        <v>08060</v>
      </c>
      <c r="B64" s="3" t="str">
        <f>IFERROR(__xludf.DUMMYFUNCTION("""COMPUTED_VALUE"""),"✩STARSEED✩ヒーリングサロン・スクール")</f>
        <v>✩STARSEED✩ヒーリングサロン・スクール</v>
      </c>
      <c r="C64" s="5" t="str">
        <f>IFERROR(__xludf.DUMMYFUNCTION("""COMPUTED_VALUE"""),"http://www.starseed777.jp/contact/page1.html")</f>
        <v>http://www.starseed777.jp/contact/page1.html</v>
      </c>
      <c r="D64" s="3" t="str">
        <f>IFERROR(__xludf.DUMMYFUNCTION("""COMPUTED_VALUE"""),"△")</f>
        <v>△</v>
      </c>
      <c r="E64" s="5" t="str">
        <f>IFERROR(__xludf.DUMMYFUNCTION("""COMPUTED_VALUE"""),"http://www.starseed777.jp/")</f>
        <v>http://www.starseed777.jp/</v>
      </c>
      <c r="F64" s="6" t="s">
        <v>71</v>
      </c>
    </row>
    <row r="65">
      <c r="A65" s="2" t="str">
        <f t="shared" si="1"/>
        <v>08061</v>
      </c>
      <c r="B65" s="3" t="str">
        <f>IFERROR(__xludf.DUMMYFUNCTION("""COMPUTED_VALUE"""),"school of lights")</f>
        <v>school of lights</v>
      </c>
      <c r="C65" s="5" t="str">
        <f>IFERROR(__xludf.DUMMYFUNCTION("""COMPUTED_VALUE"""),"https://www.schooloflights.net/%E3%81%8A%E5%95%8F%E5%90%88%E3%82%8F%E3%81%9B-%E3%81%8A%E7%94%B3%E8%BE%BC%E3%81%BF-%E3%82%A2%E3%82%AF%E3%82%BB%E3%82%B9/")</f>
        <v>https://www.schooloflights.net/%E3%81%8A%E5%95%8F%E5%90%88%E3%82%8F%E3%81%9B-%E3%81%8A%E7%94%B3%E8%BE%BC%E3%81%BF-%E3%82%A2%E3%82%AF%E3%82%BB%E3%82%B9/</v>
      </c>
      <c r="D65" s="3" t="str">
        <f>IFERROR(__xludf.DUMMYFUNCTION("""COMPUTED_VALUE"""),"△")</f>
        <v>△</v>
      </c>
      <c r="E65" s="5" t="str">
        <f>IFERROR(__xludf.DUMMYFUNCTION("""COMPUTED_VALUE"""),"https://www.schooloflights.net")</f>
        <v>https://www.schooloflights.net</v>
      </c>
      <c r="F65" s="6" t="s">
        <v>72</v>
      </c>
    </row>
    <row r="66">
      <c r="A66" s="2" t="str">
        <f t="shared" si="1"/>
        <v>08062</v>
      </c>
      <c r="B66" s="3" t="str">
        <f>IFERROR(__xludf.DUMMYFUNCTION("""COMPUTED_VALUE"""),"salon MAKIA")</f>
        <v>salon MAKIA</v>
      </c>
      <c r="C66" s="5" t="str">
        <f>IFERROR(__xludf.DUMMYFUNCTION("""COMPUTED_VALUE"""),"https://salon-makia-55.crayonsite.net/p/3/#cbox-open")</f>
        <v>https://salon-makia-55.crayonsite.net/p/3/#cbox-open</v>
      </c>
      <c r="D66" s="3" t="str">
        <f>IFERROR(__xludf.DUMMYFUNCTION("""COMPUTED_VALUE"""),"△")</f>
        <v>△</v>
      </c>
      <c r="E66" s="5" t="str">
        <f>IFERROR(__xludf.DUMMYFUNCTION("""COMPUTED_VALUE"""),"https://salon-makia-55.crayonsite.net/")</f>
        <v>https://salon-makia-55.crayonsite.net/</v>
      </c>
      <c r="F66" s="6" t="s">
        <v>73</v>
      </c>
    </row>
    <row r="67">
      <c r="A67" s="2" t="str">
        <f t="shared" si="1"/>
        <v>08063</v>
      </c>
      <c r="B67" s="3" t="str">
        <f>IFERROR(__xludf.DUMMYFUNCTION("""COMPUTED_VALUE"""),"スピリチュアル・ヒーリングサロン空扉")</f>
        <v>スピリチュアル・ヒーリングサロン空扉</v>
      </c>
      <c r="C67" s="5" t="str">
        <f>IFERROR(__xludf.DUMMYFUNCTION("""COMPUTED_VALUE"""),"https://www.kuuto.website/%E3%81%8A%E5%95%8F%E5%90%88%E3%81%9B/")</f>
        <v>https://www.kuuto.website/%E3%81%8A%E5%95%8F%E5%90%88%E3%81%9B/</v>
      </c>
      <c r="D67" s="3" t="str">
        <f>IFERROR(__xludf.DUMMYFUNCTION("""COMPUTED_VALUE"""),"△")</f>
        <v>△</v>
      </c>
      <c r="E67" s="5" t="str">
        <f>IFERROR(__xludf.DUMMYFUNCTION("""COMPUTED_VALUE"""),"https://www.kuuto.website/")</f>
        <v>https://www.kuuto.website/</v>
      </c>
      <c r="F67" s="6" t="s">
        <v>74</v>
      </c>
    </row>
    <row r="68">
      <c r="A68" s="2" t="str">
        <f t="shared" si="1"/>
        <v>08064</v>
      </c>
      <c r="B68" s="3" t="str">
        <f>IFERROR(__xludf.DUMMYFUNCTION("""COMPUTED_VALUE"""),"ソウルトータルヒーリング 薔薇の女神ヒーリングサロン")</f>
        <v>ソウルトータルヒーリング 薔薇の女神ヒーリングサロン</v>
      </c>
      <c r="C68" s="3" t="str">
        <f>IFERROR(__xludf.DUMMYFUNCTION("""COMPUTED_VALUE"""),"goddessrose.info@gmail.com")</f>
        <v>goddessrose.info@gmail.com</v>
      </c>
      <c r="D68" s="3" t="str">
        <f>IFERROR(__xludf.DUMMYFUNCTION("""COMPUTED_VALUE"""),"△")</f>
        <v>△</v>
      </c>
      <c r="E68" s="5" t="str">
        <f>IFERROR(__xludf.DUMMYFUNCTION("""COMPUTED_VALUE"""),"https://goddessrose.cpv.jp/")</f>
        <v>https://goddessrose.cpv.jp/</v>
      </c>
      <c r="F68" s="6" t="s">
        <v>75</v>
      </c>
    </row>
    <row r="69">
      <c r="A69" s="2" t="str">
        <f t="shared" si="1"/>
        <v>08065</v>
      </c>
      <c r="B69" s="3" t="str">
        <f>IFERROR(__xludf.DUMMYFUNCTION("""COMPUTED_VALUE"""),"スペース天空")</f>
        <v>スペース天空</v>
      </c>
      <c r="C69" s="5" t="str">
        <f>IFERROR(__xludf.DUMMYFUNCTION("""COMPUTED_VALUE"""),"https://www.space-tencoo.com/%E3%81%94%E4%BA%88%E7%B4%84/%E3%81%8A%E5%95%8F%E3%81%84%E5%90%88%E3%82%8F%E3%81%9B/")</f>
        <v>https://www.space-tencoo.com/%E3%81%94%E4%BA%88%E7%B4%84/%E3%81%8A%E5%95%8F%E3%81%84%E5%90%88%E3%82%8F%E3%81%9B/</v>
      </c>
      <c r="D69" s="3" t="str">
        <f>IFERROR(__xludf.DUMMYFUNCTION("""COMPUTED_VALUE"""),"△")</f>
        <v>△</v>
      </c>
      <c r="E69" s="5" t="str">
        <f>IFERROR(__xludf.DUMMYFUNCTION("""COMPUTED_VALUE"""),"https://www.space-tencoo.com/")</f>
        <v>https://www.space-tencoo.com/</v>
      </c>
      <c r="F69" s="6" t="s">
        <v>76</v>
      </c>
    </row>
    <row r="70">
      <c r="A70" s="2" t="str">
        <f t="shared" si="1"/>
        <v>08066</v>
      </c>
      <c r="B70" s="3" t="str">
        <f>IFERROR(__xludf.DUMMYFUNCTION("""COMPUTED_VALUE"""),"HSP Healing Cafe カクレミノ家 名古屋大須店")</f>
        <v>HSP Healing Cafe カクレミノ家 名古屋大須店</v>
      </c>
      <c r="C70" s="3" t="str">
        <f>IFERROR(__xludf.DUMMYFUNCTION("""COMPUTED_VALUE"""),"info@kakureminoya.com")</f>
        <v>info@kakureminoya.com</v>
      </c>
      <c r="D70" s="3" t="str">
        <f>IFERROR(__xludf.DUMMYFUNCTION("""COMPUTED_VALUE"""),"△")</f>
        <v>△</v>
      </c>
      <c r="E70" s="5" t="str">
        <f>IFERROR(__xludf.DUMMYFUNCTION("""COMPUTED_VALUE"""),"https://kakureminoya.com/shop-info/aichi/oosu/")</f>
        <v>https://kakureminoya.com/shop-info/aichi/oosu/</v>
      </c>
      <c r="F70" s="6" t="s">
        <v>77</v>
      </c>
    </row>
    <row r="71">
      <c r="A71" s="2" t="str">
        <f t="shared" si="1"/>
        <v>08067</v>
      </c>
      <c r="B71" s="3" t="str">
        <f>IFERROR(__xludf.DUMMYFUNCTION("""COMPUTED_VALUE"""),"氣流しトータルバランス仁屋")</f>
        <v>氣流しトータルバランス仁屋</v>
      </c>
      <c r="C71" s="3" t="str">
        <f>IFERROR(__xludf.DUMMYFUNCTION("""COMPUTED_VALUE"""),"jinya297@gmail.com")</f>
        <v>jinya297@gmail.com</v>
      </c>
      <c r="D71" s="3" t="str">
        <f>IFERROR(__xludf.DUMMYFUNCTION("""COMPUTED_VALUE"""),"△")</f>
        <v>△</v>
      </c>
      <c r="E71" s="5" t="str">
        <f>IFERROR(__xludf.DUMMYFUNCTION("""COMPUTED_VALUE"""),"https://www.jinya-wbn.com/")</f>
        <v>https://www.jinya-wbn.com/</v>
      </c>
      <c r="F71" s="6" t="s">
        <v>78</v>
      </c>
    </row>
    <row r="72">
      <c r="A72" s="2" t="str">
        <f t="shared" si="1"/>
        <v>08068</v>
      </c>
      <c r="B72" s="3" t="str">
        <f>IFERROR(__xludf.DUMMYFUNCTION("""COMPUTED_VALUE"""),"癒しのサロンヘルメス")</f>
        <v>癒しのサロンヘルメス</v>
      </c>
      <c r="C72" s="5" t="str">
        <f>IFERROR(__xludf.DUMMYFUNCTION("""COMPUTED_VALUE"""),"https://www.healing-angel.com/contact/")</f>
        <v>https://www.healing-angel.com/contact/</v>
      </c>
      <c r="D72" s="3" t="str">
        <f>IFERROR(__xludf.DUMMYFUNCTION("""COMPUTED_VALUE"""),"△")</f>
        <v>△</v>
      </c>
      <c r="E72" s="5" t="str">
        <f>IFERROR(__xludf.DUMMYFUNCTION("""COMPUTED_VALUE"""),"https://www.healing-angel.com/")</f>
        <v>https://www.healing-angel.com/</v>
      </c>
      <c r="F72" s="6" t="s">
        <v>79</v>
      </c>
    </row>
    <row r="73">
      <c r="A73" s="2" t="str">
        <f t="shared" si="1"/>
        <v>08069</v>
      </c>
      <c r="B73" s="3" t="str">
        <f>IFERROR(__xludf.DUMMYFUNCTION("""COMPUTED_VALUE"""),"ナチュラルヒーリング＆スクール Angel PIg（エンジェル ピッグ）")</f>
        <v>ナチュラルヒーリング＆スクール Angel PIg（エンジェル ピッグ）</v>
      </c>
      <c r="C73" s="5" t="str">
        <f>IFERROR(__xludf.DUMMYFUNCTION("""COMPUTED_VALUE"""),"https://angel-pig-2.jimdosite.com/%E3%81%8A%E5%95%8F%E3%81%84%E5%90%88%E3%82%8F%E3%81%9B/")</f>
        <v>https://angel-pig-2.jimdosite.com/%E3%81%8A%E5%95%8F%E3%81%84%E5%90%88%E3%82%8F%E3%81%9B/</v>
      </c>
      <c r="D73" s="3" t="str">
        <f>IFERROR(__xludf.DUMMYFUNCTION("""COMPUTED_VALUE"""),"△")</f>
        <v>△</v>
      </c>
      <c r="E73" s="5" t="str">
        <f>IFERROR(__xludf.DUMMYFUNCTION("""COMPUTED_VALUE"""),"https://angel-pig-2.jimdosite.com/")</f>
        <v>https://angel-pig-2.jimdosite.com/</v>
      </c>
      <c r="F73" s="6" t="s">
        <v>80</v>
      </c>
    </row>
    <row r="74">
      <c r="A74" s="2" t="str">
        <f t="shared" si="1"/>
        <v>08070</v>
      </c>
      <c r="B74" s="3" t="str">
        <f>IFERROR(__xludf.DUMMYFUNCTION("""COMPUTED_VALUE"""),"サウンドヒーリングサロン『PurFleuRe』")</f>
        <v>サウンドヒーリングサロン『PurFleuRe』</v>
      </c>
      <c r="C74" s="5" t="str">
        <f>IFERROR(__xludf.DUMMYFUNCTION("""COMPUTED_VALUE"""),"https://purfleure.care/reservation")</f>
        <v>https://purfleure.care/reservation</v>
      </c>
      <c r="D74" s="3" t="str">
        <f>IFERROR(__xludf.DUMMYFUNCTION("""COMPUTED_VALUE"""),"△")</f>
        <v>△</v>
      </c>
      <c r="E74" s="5" t="str">
        <f>IFERROR(__xludf.DUMMYFUNCTION("""COMPUTED_VALUE"""),"https://purfleure.care/")</f>
        <v>https://purfleure.care/</v>
      </c>
      <c r="F74" s="6" t="s">
        <v>81</v>
      </c>
    </row>
    <row r="75">
      <c r="A75" s="2" t="str">
        <f t="shared" si="1"/>
        <v>08071</v>
      </c>
      <c r="B75" s="3" t="str">
        <f>IFERROR(__xludf.DUMMYFUNCTION("""COMPUTED_VALUE"""),"癒しの宮殿 Flower of Life占い＆ヒーリング｜愛知 安城")</f>
        <v>癒しの宮殿 Flower of Life占い＆ヒーリング｜愛知 安城</v>
      </c>
      <c r="C75" s="5" t="str">
        <f>IFERROR(__xludf.DUMMYFUNCTION("""COMPUTED_VALUE"""),"https://ruka9flower.sakura.ne.jp/contact.php")</f>
        <v>https://ruka9flower.sakura.ne.jp/contact.php</v>
      </c>
      <c r="D75" s="3" t="str">
        <f>IFERROR(__xludf.DUMMYFUNCTION("""COMPUTED_VALUE"""),"△")</f>
        <v>△</v>
      </c>
      <c r="E75" s="5" t="str">
        <f>IFERROR(__xludf.DUMMYFUNCTION("""COMPUTED_VALUE"""),"http://www.ruka9flower.com/")</f>
        <v>http://www.ruka9flower.com/</v>
      </c>
      <c r="F75" s="6" t="s">
        <v>82</v>
      </c>
    </row>
    <row r="76">
      <c r="A76" s="2" t="str">
        <f t="shared" si="1"/>
        <v>08072</v>
      </c>
      <c r="B76" s="3" t="str">
        <f>IFERROR(__xludf.DUMMYFUNCTION("""COMPUTED_VALUE"""),"ヒーリングサロンBlue-ray")</f>
        <v>ヒーリングサロンBlue-ray</v>
      </c>
      <c r="C76" s="5" t="str">
        <f>IFERROR(__xludf.DUMMYFUNCTION("""COMPUTED_VALUE"""),"https://love-and-joy.crayonsite.net/p/2/#cbox-open")</f>
        <v>https://love-and-joy.crayonsite.net/p/2/#cbox-open</v>
      </c>
      <c r="D76" s="3" t="str">
        <f>IFERROR(__xludf.DUMMYFUNCTION("""COMPUTED_VALUE"""),"△")</f>
        <v>△</v>
      </c>
      <c r="E76" s="5" t="str">
        <f>IFERROR(__xludf.DUMMYFUNCTION("""COMPUTED_VALUE"""),"https://love-and-joy.crayonsite.net/")</f>
        <v>https://love-and-joy.crayonsite.net/</v>
      </c>
      <c r="F76" s="6" t="s">
        <v>83</v>
      </c>
    </row>
    <row r="77">
      <c r="A77" s="2" t="str">
        <f t="shared" si="1"/>
        <v>08073</v>
      </c>
      <c r="B77" s="3" t="str">
        <f>IFERROR(__xludf.DUMMYFUNCTION("""COMPUTED_VALUE"""),"ヒーリングサロン♾️9STARS♾️")</f>
        <v>ヒーリングサロン♾️9STARS♾️</v>
      </c>
      <c r="C77" s="5" t="str">
        <f>IFERROR(__xludf.DUMMYFUNCTION("""COMPUTED_VALUE"""),"https://www.instagram.com/8_9stars_8?igsh=OXdxdXY3ZnllN3Jj")</f>
        <v>https://www.instagram.com/8_9stars_8?igsh=OXdxdXY3ZnllN3Jj</v>
      </c>
      <c r="D77" s="3" t="str">
        <f>IFERROR(__xludf.DUMMYFUNCTION("""COMPUTED_VALUE"""),"△")</f>
        <v>△</v>
      </c>
      <c r="E77" s="5" t="str">
        <f>IFERROR(__xludf.DUMMYFUNCTION("""COMPUTED_VALUE"""),"https://ameblo.jp/8-9star-8/?utm_source=ig&amp;utm_medium=social&amp;utm_content=link_in_bio&amp;fbclid=PAb21jcAPdF6hleHRuA2FlbQIxMQBzcnRjBmFwcF9pZA81NjcwNjczNDMzNTI0MjcAAaelJQU9Q9ApN1A0qode1dDAk3zMpcHnyBJ307kPTm7z2hW2Ne020q8E70q__w_aem_7efc9vw3UMUiiqn0tVjCYw")</f>
        <v>https://ameblo.jp/8-9star-8/?utm_source=ig&amp;utm_medium=social&amp;utm_content=link_in_bio&amp;fbclid=PAb21jcAPdF6hleHRuA2FlbQIxMQBzcnRjBmFwcF9pZA81NjcwNjczNDMzNTI0MjcAAaelJQU9Q9ApN1A0qode1dDAk3zMpcHnyBJ307kPTm7z2hW2Ne020q8E70q__w_aem_7efc9vw3UMUiiqn0tVjCYw</v>
      </c>
      <c r="F77" s="6" t="s">
        <v>84</v>
      </c>
    </row>
    <row r="78">
      <c r="A78" s="2" t="str">
        <f t="shared" si="1"/>
        <v>08074</v>
      </c>
      <c r="B78" s="3" t="str">
        <f>IFERROR(__xludf.DUMMYFUNCTION("""COMPUTED_VALUE"""),"Reborn Salon COCORO R")</f>
        <v>Reborn Salon COCORO R</v>
      </c>
      <c r="C78" s="5" t="str">
        <f>IFERROR(__xludf.DUMMYFUNCTION("""COMPUTED_VALUE"""),"https://sinkyu-cocoro.com/%e3%81%94%e4%ba%88%e7%b4%84/")</f>
        <v>https://sinkyu-cocoro.com/%e3%81%94%e4%ba%88%e7%b4%84/</v>
      </c>
      <c r="D78" s="3" t="str">
        <f>IFERROR(__xludf.DUMMYFUNCTION("""COMPUTED_VALUE"""),"△")</f>
        <v>△</v>
      </c>
      <c r="E78" s="5" t="str">
        <f>IFERROR(__xludf.DUMMYFUNCTION("""COMPUTED_VALUE"""),"https://sinkyu-cocoro.com/")</f>
        <v>https://sinkyu-cocoro.com/</v>
      </c>
      <c r="F78" s="6" t="s">
        <v>85</v>
      </c>
    </row>
    <row r="79">
      <c r="A79" s="2" t="str">
        <f t="shared" si="1"/>
        <v>08075</v>
      </c>
      <c r="B79" s="3" t="str">
        <f>IFERROR(__xludf.DUMMYFUNCTION("""COMPUTED_VALUE"""),"アルファセラピー研究所 名古屋")</f>
        <v>アルファセラピー研究所 名古屋</v>
      </c>
      <c r="C79" s="5" t="str">
        <f>IFERROR(__xludf.DUMMYFUNCTION("""COMPUTED_VALUE"""),"http://www.a-t-i.jp/inquiry.html")</f>
        <v>http://www.a-t-i.jp/inquiry.html</v>
      </c>
      <c r="D79" s="3" t="str">
        <f>IFERROR(__xludf.DUMMYFUNCTION("""COMPUTED_VALUE"""),"△")</f>
        <v>△</v>
      </c>
      <c r="E79" s="5" t="str">
        <f>IFERROR(__xludf.DUMMYFUNCTION("""COMPUTED_VALUE"""),"http://www.a-t-i.jp/index.html")</f>
        <v>http://www.a-t-i.jp/index.html</v>
      </c>
      <c r="F79" s="6" t="s">
        <v>86</v>
      </c>
    </row>
    <row r="80">
      <c r="A80" s="2" t="str">
        <f t="shared" si="1"/>
        <v>08076</v>
      </c>
      <c r="B80" s="3" t="str">
        <f>IFERROR(__xludf.DUMMYFUNCTION("""COMPUTED_VALUE"""),"星のひかり カウンセリング・ヒーリングサロン")</f>
        <v>星のひかり カウンセリング・ヒーリングサロン</v>
      </c>
      <c r="C80" s="5" t="str">
        <f>IFERROR(__xludf.DUMMYFUNCTION("""COMPUTED_VALUE"""),"https://form1ssl.fc2.com/form/?id=c58f51604f5f3438")</f>
        <v>https://form1ssl.fc2.com/form/?id=c58f51604f5f3438</v>
      </c>
      <c r="D80" s="3" t="str">
        <f>IFERROR(__xludf.DUMMYFUNCTION("""COMPUTED_VALUE"""),"△")</f>
        <v>△</v>
      </c>
      <c r="E80" s="5" t="str">
        <f>IFERROR(__xludf.DUMMYFUNCTION("""COMPUTED_VALUE"""),"https://hoshinohikari.sakura.ne.jp/index.html")</f>
        <v>https://hoshinohikari.sakura.ne.jp/index.html</v>
      </c>
      <c r="F80" s="6" t="s">
        <v>87</v>
      </c>
    </row>
    <row r="81">
      <c r="A81" s="2" t="str">
        <f t="shared" si="1"/>
        <v>08077</v>
      </c>
      <c r="B81" s="3" t="str">
        <f>IFERROR(__xludf.DUMMYFUNCTION("""COMPUTED_VALUE"""),"ドナメア ~dans-la-mer~リラクゼーションサロン")</f>
        <v>ドナメア ~dans-la-mer~リラクゼーションサロン</v>
      </c>
      <c r="C81" s="5" t="str">
        <f>IFERROR(__xludf.DUMMYFUNCTION("""COMPUTED_VALUE"""),"https://dans-la-mer.jp/contact/")</f>
        <v>https://dans-la-mer.jp/contact/</v>
      </c>
      <c r="D81" s="3" t="str">
        <f>IFERROR(__xludf.DUMMYFUNCTION("""COMPUTED_VALUE"""),"△")</f>
        <v>△</v>
      </c>
      <c r="E81" s="5" t="str">
        <f>IFERROR(__xludf.DUMMYFUNCTION("""COMPUTED_VALUE"""),"https://dans-la-mer.jp/")</f>
        <v>https://dans-la-mer.jp/</v>
      </c>
      <c r="F81" s="6" t="s">
        <v>88</v>
      </c>
    </row>
    <row r="82">
      <c r="A82" s="2" t="str">
        <f t="shared" si="1"/>
        <v>08078</v>
      </c>
      <c r="B82" s="3" t="str">
        <f>IFERROR(__xludf.DUMMYFUNCTION("""COMPUTED_VALUE"""),"音叉ヒーリングサロン音心庵（つながりの杜レンタルスペースB)")</f>
        <v>音叉ヒーリングサロン音心庵（つながりの杜レンタルスペースB)</v>
      </c>
      <c r="C82" s="3" t="str">
        <f>IFERROR(__xludf.DUMMYFUNCTION("""COMPUTED_VALUE"""),"wakacreate@gmail.com")</f>
        <v>wakacreate@gmail.com</v>
      </c>
      <c r="D82" s="3" t="str">
        <f>IFERROR(__xludf.DUMMYFUNCTION("""COMPUTED_VALUE"""),"△")</f>
        <v>△</v>
      </c>
      <c r="E82" s="5" t="str">
        <f>IFERROR(__xludf.DUMMYFUNCTION("""COMPUTED_VALUE"""),"https://my-site-100950-102273.square.site/")</f>
        <v>https://my-site-100950-102273.square.site/</v>
      </c>
      <c r="F82" s="6" t="s">
        <v>89</v>
      </c>
    </row>
    <row r="83">
      <c r="A83" s="2" t="str">
        <f t="shared" si="1"/>
        <v>08079</v>
      </c>
      <c r="B83" s="3" t="str">
        <f>IFERROR(__xludf.DUMMYFUNCTION("""COMPUTED_VALUE"""),"Sol Lights Tuning Labo
Nagoya")</f>
        <v>Sol Lights Tuning Labo
Nagoya</v>
      </c>
      <c r="C83" s="3" t="str">
        <f>IFERROR(__xludf.DUMMYFUNCTION("""COMPUTED_VALUE"""),"sol_lights_labo.nagoya@jindo.company")</f>
        <v>sol_lights_labo.nagoya@jindo.company</v>
      </c>
      <c r="D83" s="3" t="str">
        <f>IFERROR(__xludf.DUMMYFUNCTION("""COMPUTED_VALUE"""),"△")</f>
        <v>△</v>
      </c>
      <c r="E83" s="5" t="str">
        <f>IFERROR(__xludf.DUMMYFUNCTION("""COMPUTED_VALUE"""),"https://www.sollights-labo.com/")</f>
        <v>https://www.sollights-labo.com/</v>
      </c>
      <c r="F83" s="6" t="s">
        <v>90</v>
      </c>
    </row>
    <row r="84">
      <c r="A84" s="2" t="str">
        <f t="shared" si="1"/>
        <v>08080</v>
      </c>
      <c r="B84" s="3" t="str">
        <f>IFERROR(__xludf.DUMMYFUNCTION("""COMPUTED_VALUE"""),"ワイワイオフィス心と身体の休憩室")</f>
        <v>ワイワイオフィス心と身体の休憩室</v>
      </c>
      <c r="C84" s="5" t="str">
        <f>IFERROR(__xludf.DUMMYFUNCTION("""COMPUTED_VALUE"""),"https://yyoffice-cs60.com/contact")</f>
        <v>https://yyoffice-cs60.com/contact</v>
      </c>
      <c r="D84" s="3" t="str">
        <f>IFERROR(__xludf.DUMMYFUNCTION("""COMPUTED_VALUE"""),"△")</f>
        <v>△</v>
      </c>
      <c r="E84" s="5" t="str">
        <f>IFERROR(__xludf.DUMMYFUNCTION("""COMPUTED_VALUE"""),"https://yyoffice-cs60.com/")</f>
        <v>https://yyoffice-cs60.com/</v>
      </c>
      <c r="F84" s="6" t="s">
        <v>91</v>
      </c>
    </row>
    <row r="85">
      <c r="A85" s="2" t="str">
        <f t="shared" si="1"/>
        <v>08081</v>
      </c>
      <c r="B85" s="3" t="str">
        <f>IFERROR(__xludf.DUMMYFUNCTION("""COMPUTED_VALUE"""),"心と身体の相談 剛 千玉 『ココロとカラダのソウダン ごう せんぎょく』")</f>
        <v>心と身体の相談 剛 千玉 『ココロとカラダのソウダン ごう せんぎょく』</v>
      </c>
      <c r="C85" s="5" t="str">
        <f>IFERROR(__xludf.DUMMYFUNCTION("""COMPUTED_VALUE"""),"https://xn--20190501-up1m808b.net/page-37/")</f>
        <v>https://xn--20190501-up1m808b.net/page-37/</v>
      </c>
      <c r="D85" s="3" t="str">
        <f>IFERROR(__xludf.DUMMYFUNCTION("""COMPUTED_VALUE"""),"△")</f>
        <v>△</v>
      </c>
      <c r="E85" s="5" t="str">
        <f>IFERROR(__xludf.DUMMYFUNCTION("""COMPUTED_VALUE"""),"https://xn--20190501-up1m808b.net/")</f>
        <v>https://xn--20190501-up1m808b.net/</v>
      </c>
      <c r="F85" s="6" t="s">
        <v>92</v>
      </c>
    </row>
    <row r="86">
      <c r="A86" s="2" t="str">
        <f t="shared" si="1"/>
        <v>08082</v>
      </c>
      <c r="B86" s="3" t="str">
        <f>IFERROR(__xludf.DUMMYFUNCTION("""COMPUTED_VALUE"""),"占い＆体のケア・ヒーリングハウス フルフルwith野田氣術整体専門学院")</f>
        <v>占い＆体のケア・ヒーリングハウス フルフルwith野田氣術整体専門学院</v>
      </c>
      <c r="C86" s="5" t="str">
        <f>IFERROR(__xludf.DUMMYFUNCTION("""COMPUTED_VALUE"""),"https://www.healinghouse-fullfull.com/%E3%81%94%E4%BA%88%E7%B4%84-%E3%81%8A%E5%95%8F%E3%81%84%E5%90%88%E3%82%8F%E3%81%9B/%E3%83%A1%E3%83%BC%E3%83%AB%E3%81%A7%E3%81%AE%E3%81%94%E4%BA%88%E7%B4%84-%E3%81%8A%E5%95%8F%E3%81%84%E5%90%88%E3%82%8F%E3%81%9B/")</f>
        <v>https://www.healinghouse-fullfull.com/%E3%81%94%E4%BA%88%E7%B4%84-%E3%81%8A%E5%95%8F%E3%81%84%E5%90%88%E3%82%8F%E3%81%9B/%E3%83%A1%E3%83%BC%E3%83%AB%E3%81%A7%E3%81%AE%E3%81%94%E4%BA%88%E7%B4%84-%E3%81%8A%E5%95%8F%E3%81%84%E5%90%88%E3%82%8F%E3%81%9B/</v>
      </c>
      <c r="D86" s="3" t="str">
        <f>IFERROR(__xludf.DUMMYFUNCTION("""COMPUTED_VALUE"""),"△")</f>
        <v>△</v>
      </c>
      <c r="E86" s="5" t="str">
        <f>IFERROR(__xludf.DUMMYFUNCTION("""COMPUTED_VALUE"""),"https://www.healinghouse-fullfull.com/")</f>
        <v>https://www.healinghouse-fullfull.com/</v>
      </c>
      <c r="F86" s="6" t="s">
        <v>93</v>
      </c>
    </row>
    <row r="87">
      <c r="A87" s="2" t="str">
        <f t="shared" si="1"/>
        <v>08083</v>
      </c>
      <c r="B87" s="3" t="str">
        <f>IFERROR(__xludf.DUMMYFUNCTION("""COMPUTED_VALUE"""),"占い整体サロン 癒し空間そら")</f>
        <v>占い整体サロン 癒し空間そら</v>
      </c>
      <c r="C87" s="3" t="str">
        <f>IFERROR(__xludf.DUMMYFUNCTION("""COMPUTED_VALUE"""),"eiji1975210@gmail.com")</f>
        <v>eiji1975210@gmail.com</v>
      </c>
      <c r="D87" s="3" t="str">
        <f>IFERROR(__xludf.DUMMYFUNCTION("""COMPUTED_VALUE"""),"△")</f>
        <v>△</v>
      </c>
      <c r="E87" s="5" t="str">
        <f>IFERROR(__xludf.DUMMYFUNCTION("""COMPUTED_VALUE"""),"https://eiji1975210.jimdofree.com/")</f>
        <v>https://eiji1975210.jimdofree.com/</v>
      </c>
      <c r="F87" s="6" t="s">
        <v>94</v>
      </c>
    </row>
    <row r="88">
      <c r="A88" s="2" t="str">
        <f t="shared" si="1"/>
        <v>08084</v>
      </c>
      <c r="B88" s="3" t="str">
        <f>IFERROR(__xludf.DUMMYFUNCTION("""COMPUTED_VALUE"""),"癒しの館 ワンネス")</f>
        <v>癒しの館 ワンネス</v>
      </c>
      <c r="C88" s="5" t="str">
        <f>IFERROR(__xludf.DUMMYFUNCTION("""COMPUTED_VALUE"""),"https://healing-oneness.com/sun/office/")</f>
        <v>https://healing-oneness.com/sun/office/</v>
      </c>
      <c r="D88" s="3" t="str">
        <f>IFERROR(__xludf.DUMMYFUNCTION("""COMPUTED_VALUE"""),"△")</f>
        <v>△</v>
      </c>
      <c r="E88" s="5" t="str">
        <f>IFERROR(__xludf.DUMMYFUNCTION("""COMPUTED_VALUE"""),"https://healing-oneness.com/sun/")</f>
        <v>https://healing-oneness.com/sun/</v>
      </c>
      <c r="F88" s="6" t="s">
        <v>95</v>
      </c>
    </row>
    <row r="89">
      <c r="A89" s="2" t="str">
        <f t="shared" si="1"/>
        <v>08085</v>
      </c>
      <c r="F89" s="6" t="s">
        <v>96</v>
      </c>
    </row>
    <row r="90">
      <c r="A90" s="2" t="str">
        <f t="shared" si="1"/>
        <v>08086</v>
      </c>
      <c r="F90" s="6" t="s">
        <v>97</v>
      </c>
    </row>
    <row r="91">
      <c r="A91" s="2" t="str">
        <f t="shared" si="1"/>
        <v>08087</v>
      </c>
      <c r="F91" s="6" t="s">
        <v>98</v>
      </c>
    </row>
    <row r="92">
      <c r="A92" s="2" t="str">
        <f t="shared" si="1"/>
        <v>08088</v>
      </c>
      <c r="F92" s="6" t="s">
        <v>99</v>
      </c>
    </row>
    <row r="93">
      <c r="A93" s="2" t="str">
        <f t="shared" si="1"/>
        <v>08089</v>
      </c>
      <c r="F93" s="6" t="s">
        <v>100</v>
      </c>
    </row>
    <row r="94">
      <c r="A94" s="2" t="str">
        <f t="shared" si="1"/>
        <v>08090</v>
      </c>
      <c r="F94" s="6" t="s">
        <v>101</v>
      </c>
    </row>
    <row r="95">
      <c r="A95" s="2" t="str">
        <f t="shared" si="1"/>
        <v>08091</v>
      </c>
      <c r="F95" s="6" t="s">
        <v>102</v>
      </c>
    </row>
    <row r="96">
      <c r="A96" s="2" t="str">
        <f t="shared" si="1"/>
        <v>08092</v>
      </c>
      <c r="F96" s="6" t="s">
        <v>103</v>
      </c>
    </row>
    <row r="97">
      <c r="A97" s="2" t="str">
        <f t="shared" si="1"/>
        <v>08093</v>
      </c>
      <c r="F97" s="6" t="s">
        <v>104</v>
      </c>
    </row>
    <row r="98">
      <c r="A98" s="2" t="str">
        <f t="shared" si="1"/>
        <v>08094</v>
      </c>
      <c r="F98" s="6" t="s">
        <v>105</v>
      </c>
    </row>
    <row r="99">
      <c r="A99" s="2" t="str">
        <f t="shared" si="1"/>
        <v>08095</v>
      </c>
      <c r="F99" s="6" t="s">
        <v>106</v>
      </c>
    </row>
    <row r="100">
      <c r="A100" s="2" t="str">
        <f t="shared" si="1"/>
        <v>08096</v>
      </c>
      <c r="F100" s="6" t="s">
        <v>107</v>
      </c>
    </row>
    <row r="101">
      <c r="A101" s="2" t="str">
        <f t="shared" si="1"/>
        <v>08097</v>
      </c>
      <c r="F101" s="6" t="s">
        <v>108</v>
      </c>
    </row>
    <row r="102">
      <c r="A102" s="2" t="str">
        <f t="shared" si="1"/>
        <v>08098</v>
      </c>
      <c r="F102" s="6" t="s">
        <v>109</v>
      </c>
    </row>
    <row r="103">
      <c r="A103" s="2" t="str">
        <f t="shared" si="1"/>
        <v>08099</v>
      </c>
      <c r="F103" s="6" t="s">
        <v>110</v>
      </c>
    </row>
    <row r="104">
      <c r="A104" s="2" t="str">
        <f t="shared" si="1"/>
        <v>08100</v>
      </c>
      <c r="F104" s="6" t="s">
        <v>111</v>
      </c>
    </row>
    <row r="105">
      <c r="A105" s="2" t="str">
        <f t="shared" si="1"/>
        <v>08101</v>
      </c>
    </row>
    <row r="106">
      <c r="A106" s="2" t="str">
        <f t="shared" si="1"/>
        <v>08102</v>
      </c>
    </row>
    <row r="107">
      <c r="A107" s="2" t="str">
        <f t="shared" si="1"/>
        <v>08103</v>
      </c>
    </row>
    <row r="108">
      <c r="A108" s="2" t="str">
        <f t="shared" si="1"/>
        <v>08104</v>
      </c>
    </row>
    <row r="109">
      <c r="A109" s="2" t="str">
        <f t="shared" si="1"/>
        <v>08105</v>
      </c>
    </row>
    <row r="110">
      <c r="A110" s="2" t="str">
        <f t="shared" si="1"/>
        <v>08106</v>
      </c>
    </row>
    <row r="111">
      <c r="A111" s="2" t="str">
        <f t="shared" si="1"/>
        <v>08107</v>
      </c>
    </row>
    <row r="112">
      <c r="A112" s="2" t="str">
        <f t="shared" si="1"/>
        <v>08108</v>
      </c>
    </row>
    <row r="113">
      <c r="A113" s="2" t="str">
        <f t="shared" si="1"/>
        <v>08109</v>
      </c>
    </row>
    <row r="114">
      <c r="A114" s="2" t="str">
        <f t="shared" si="1"/>
        <v>08110</v>
      </c>
    </row>
    <row r="115">
      <c r="A115" s="2" t="str">
        <f t="shared" si="1"/>
        <v>08111</v>
      </c>
    </row>
    <row r="116">
      <c r="A116" s="2" t="str">
        <f t="shared" si="1"/>
        <v>08112</v>
      </c>
    </row>
    <row r="117">
      <c r="A117" s="2" t="str">
        <f t="shared" si="1"/>
        <v>08113</v>
      </c>
    </row>
    <row r="118">
      <c r="A118" s="2" t="str">
        <f t="shared" si="1"/>
        <v>08114</v>
      </c>
    </row>
    <row r="119">
      <c r="A119" s="2" t="str">
        <f t="shared" si="1"/>
        <v>08115</v>
      </c>
    </row>
    <row r="120">
      <c r="A120" s="2" t="str">
        <f t="shared" si="1"/>
        <v>08116</v>
      </c>
    </row>
    <row r="121">
      <c r="A121" s="2" t="str">
        <f t="shared" si="1"/>
        <v>08117</v>
      </c>
    </row>
  </sheetData>
  <hyperlinks>
    <hyperlink r:id="rId1" ref="E4"/>
    <hyperlink r:id="rId2" ref="F4"/>
    <hyperlink r:id="rId3" ref="E5"/>
    <hyperlink r:id="rId4" ref="F5"/>
    <hyperlink r:id="rId5" ref="E6"/>
    <hyperlink r:id="rId6" ref="F6"/>
    <hyperlink r:id="rId7" ref="E7"/>
    <hyperlink r:id="rId8" ref="F7"/>
    <hyperlink r:id="rId9" ref="E8"/>
    <hyperlink r:id="rId10" ref="F8"/>
    <hyperlink r:id="rId11" ref="E9"/>
    <hyperlink r:id="rId12" ref="F9"/>
    <hyperlink r:id="rId13" ref="E10"/>
    <hyperlink r:id="rId14" ref="F10"/>
    <hyperlink r:id="rId15" ref="E11"/>
    <hyperlink r:id="rId16" ref="F11"/>
    <hyperlink r:id="rId17" ref="E12"/>
    <hyperlink r:id="rId18" ref="F12"/>
    <hyperlink r:id="rId19" ref="E13"/>
    <hyperlink r:id="rId20" ref="F13"/>
    <hyperlink r:id="rId21" ref="C14"/>
    <hyperlink r:id="rId22" ref="E14"/>
    <hyperlink r:id="rId23" ref="F14"/>
    <hyperlink r:id="rId24" ref="E15"/>
    <hyperlink r:id="rId25" ref="F15"/>
    <hyperlink r:id="rId26" ref="E16"/>
    <hyperlink r:id="rId27" ref="F16"/>
    <hyperlink r:id="rId28" ref="C17"/>
    <hyperlink r:id="rId29" ref="F17"/>
    <hyperlink r:id="rId30" ref="E18"/>
    <hyperlink r:id="rId31" ref="F18"/>
    <hyperlink r:id="rId32" ref="E19"/>
    <hyperlink r:id="rId33" ref="F19"/>
    <hyperlink r:id="rId34" location="i-2" ref="C20"/>
    <hyperlink r:id="rId35" ref="E20"/>
    <hyperlink r:id="rId36" ref="F20"/>
    <hyperlink r:id="rId37" ref="C21"/>
    <hyperlink r:id="rId38" ref="E21"/>
    <hyperlink r:id="rId39" ref="F21"/>
    <hyperlink r:id="rId40" ref="C22"/>
    <hyperlink r:id="rId41" ref="E22"/>
    <hyperlink r:id="rId42" ref="F22"/>
    <hyperlink r:id="rId43" ref="C23"/>
    <hyperlink r:id="rId44" ref="E23"/>
    <hyperlink r:id="rId45" ref="F23"/>
    <hyperlink r:id="rId46" ref="C24"/>
    <hyperlink r:id="rId47" ref="E24"/>
    <hyperlink r:id="rId48" ref="F24"/>
    <hyperlink r:id="rId49" ref="C25"/>
    <hyperlink r:id="rId50" ref="E25"/>
    <hyperlink r:id="rId51" ref="F25"/>
    <hyperlink r:id="rId52" ref="C26"/>
    <hyperlink r:id="rId53" ref="E26"/>
    <hyperlink r:id="rId54" ref="F26"/>
    <hyperlink r:id="rId55" ref="E27"/>
    <hyperlink r:id="rId56" ref="F27"/>
    <hyperlink r:id="rId57" ref="C28"/>
    <hyperlink r:id="rId58" ref="E28"/>
    <hyperlink r:id="rId59" ref="F28"/>
    <hyperlink r:id="rId60" ref="E29"/>
    <hyperlink r:id="rId61" ref="F29"/>
    <hyperlink r:id="rId62" ref="E30"/>
    <hyperlink r:id="rId63" ref="F30"/>
    <hyperlink r:id="rId64" ref="E31"/>
    <hyperlink r:id="rId65" ref="F31"/>
    <hyperlink r:id="rId66" location="cbox-open" ref="C32"/>
    <hyperlink r:id="rId67" ref="E32"/>
    <hyperlink r:id="rId68" ref="F32"/>
    <hyperlink r:id="rId69" ref="E33"/>
    <hyperlink r:id="rId70" ref="F33"/>
    <hyperlink r:id="rId71" ref="C34"/>
    <hyperlink r:id="rId72" ref="E34"/>
    <hyperlink r:id="rId73" ref="F34"/>
    <hyperlink r:id="rId74" ref="E35"/>
    <hyperlink r:id="rId75" ref="F35"/>
    <hyperlink r:id="rId76" ref="E36"/>
    <hyperlink r:id="rId77" ref="F36"/>
    <hyperlink r:id="rId78" ref="C37"/>
    <hyperlink r:id="rId79" ref="E37"/>
    <hyperlink r:id="rId80" ref="F37"/>
    <hyperlink r:id="rId81" ref="F38"/>
    <hyperlink r:id="rId82" ref="F39"/>
    <hyperlink r:id="rId83" ref="F40"/>
    <hyperlink r:id="rId84" ref="F41"/>
    <hyperlink r:id="rId85" ref="F42"/>
    <hyperlink r:id="rId86" ref="F43"/>
    <hyperlink r:id="rId87" ref="F44"/>
    <hyperlink r:id="rId88" ref="F45"/>
    <hyperlink r:id="rId89" ref="F46"/>
    <hyperlink r:id="rId90" ref="F47"/>
    <hyperlink r:id="rId91" ref="F48"/>
    <hyperlink r:id="rId92" ref="F49"/>
    <hyperlink r:id="rId93" ref="F50"/>
    <hyperlink r:id="rId94" ref="F51"/>
    <hyperlink r:id="rId95" ref="F52"/>
    <hyperlink r:id="rId96" ref="F53"/>
    <hyperlink r:id="rId97" ref="F54"/>
    <hyperlink r:id="rId98" ref="F55"/>
    <hyperlink r:id="rId99" ref="F56"/>
    <hyperlink r:id="rId100" ref="F57"/>
    <hyperlink r:id="rId101" ref="F58"/>
    <hyperlink r:id="rId102" ref="F59"/>
    <hyperlink r:id="rId103" ref="F60"/>
    <hyperlink r:id="rId104" ref="C61"/>
    <hyperlink r:id="rId105" ref="E61"/>
    <hyperlink r:id="rId106" ref="F61"/>
    <hyperlink r:id="rId107" ref="C62"/>
    <hyperlink r:id="rId108" ref="E62"/>
    <hyperlink r:id="rId109" ref="F62"/>
    <hyperlink r:id="rId110" ref="C63"/>
    <hyperlink r:id="rId111" ref="E63"/>
    <hyperlink r:id="rId112" ref="F63"/>
    <hyperlink r:id="rId113" ref="C64"/>
    <hyperlink r:id="rId114" ref="E64"/>
    <hyperlink r:id="rId115" ref="F64"/>
    <hyperlink r:id="rId116" ref="C65"/>
    <hyperlink r:id="rId117" ref="E65"/>
    <hyperlink r:id="rId118" ref="F65"/>
    <hyperlink r:id="rId119" location="cbox-open" ref="C66"/>
    <hyperlink r:id="rId120" ref="E66"/>
    <hyperlink r:id="rId121" ref="F66"/>
    <hyperlink r:id="rId122" ref="C67"/>
    <hyperlink r:id="rId123" ref="E67"/>
    <hyperlink r:id="rId124" ref="F67"/>
    <hyperlink r:id="rId125" ref="E68"/>
    <hyperlink r:id="rId126" ref="F68"/>
    <hyperlink r:id="rId127" ref="C69"/>
    <hyperlink r:id="rId128" ref="E69"/>
    <hyperlink r:id="rId129" ref="F69"/>
    <hyperlink r:id="rId130" ref="E70"/>
    <hyperlink r:id="rId131" ref="F70"/>
    <hyperlink r:id="rId132" ref="E71"/>
    <hyperlink r:id="rId133" ref="F71"/>
    <hyperlink r:id="rId134" ref="C72"/>
    <hyperlink r:id="rId135" ref="E72"/>
    <hyperlink r:id="rId136" ref="F72"/>
    <hyperlink r:id="rId137" ref="C73"/>
    <hyperlink r:id="rId138" ref="E73"/>
    <hyperlink r:id="rId139" ref="F73"/>
    <hyperlink r:id="rId140" ref="C74"/>
    <hyperlink r:id="rId141" ref="E74"/>
    <hyperlink r:id="rId142" ref="F74"/>
    <hyperlink r:id="rId143" ref="C75"/>
    <hyperlink r:id="rId144" ref="E75"/>
    <hyperlink r:id="rId145" ref="F75"/>
    <hyperlink r:id="rId146" location="cbox-open" ref="C76"/>
    <hyperlink r:id="rId147" ref="E76"/>
    <hyperlink r:id="rId148" ref="F76"/>
    <hyperlink r:id="rId149" ref="C77"/>
    <hyperlink r:id="rId150" ref="E77"/>
    <hyperlink r:id="rId151" ref="F77"/>
    <hyperlink r:id="rId152" ref="C78"/>
    <hyperlink r:id="rId153" ref="E78"/>
    <hyperlink r:id="rId154" ref="F78"/>
    <hyperlink r:id="rId155" ref="C79"/>
    <hyperlink r:id="rId156" ref="E79"/>
    <hyperlink r:id="rId157" ref="F79"/>
    <hyperlink r:id="rId158" ref="C80"/>
    <hyperlink r:id="rId159" ref="E80"/>
    <hyperlink r:id="rId160" ref="F80"/>
    <hyperlink r:id="rId161" ref="C81"/>
    <hyperlink r:id="rId162" ref="E81"/>
    <hyperlink r:id="rId163" ref="F81"/>
    <hyperlink r:id="rId164" ref="E82"/>
    <hyperlink r:id="rId165" ref="F82"/>
    <hyperlink r:id="rId166" ref="E83"/>
    <hyperlink r:id="rId167" ref="F83"/>
    <hyperlink r:id="rId168" ref="C84"/>
    <hyperlink r:id="rId169" ref="E84"/>
    <hyperlink r:id="rId170" ref="F84"/>
    <hyperlink r:id="rId171" ref="C85"/>
    <hyperlink r:id="rId172" ref="E85"/>
    <hyperlink r:id="rId173" ref="F85"/>
    <hyperlink r:id="rId174" ref="C86"/>
    <hyperlink r:id="rId175" ref="E86"/>
    <hyperlink r:id="rId176" ref="F86"/>
    <hyperlink r:id="rId177" ref="E87"/>
    <hyperlink r:id="rId178" ref="F87"/>
    <hyperlink r:id="rId179" ref="C88"/>
    <hyperlink r:id="rId180" ref="E88"/>
    <hyperlink r:id="rId181" ref="F88"/>
    <hyperlink r:id="rId182" ref="F89"/>
    <hyperlink r:id="rId183" ref="F90"/>
    <hyperlink r:id="rId184" ref="F91"/>
    <hyperlink r:id="rId185" ref="F92"/>
    <hyperlink r:id="rId186" ref="F93"/>
    <hyperlink r:id="rId187" ref="F94"/>
    <hyperlink r:id="rId188" ref="F95"/>
    <hyperlink r:id="rId189" ref="F96"/>
    <hyperlink r:id="rId190" ref="F97"/>
    <hyperlink r:id="rId191" ref="F98"/>
    <hyperlink r:id="rId192" ref="F99"/>
    <hyperlink r:id="rId193" ref="F100"/>
    <hyperlink r:id="rId194" ref="F101"/>
    <hyperlink r:id="rId195" ref="F102"/>
    <hyperlink r:id="rId196" ref="F103"/>
    <hyperlink r:id="rId197" ref="F104"/>
  </hyperlinks>
  <drawing r:id="rId1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2</v>
      </c>
      <c r="C1" s="2" t="s">
        <v>113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6</v>
      </c>
      <c r="I1" s="2" t="s">
        <v>114</v>
      </c>
      <c r="J1" s="2" t="s">
        <v>115</v>
      </c>
    </row>
    <row r="2">
      <c r="A2" s="2" t="s">
        <v>116</v>
      </c>
      <c r="C2" s="2" t="s">
        <v>117</v>
      </c>
      <c r="D2" s="6" t="s">
        <v>118</v>
      </c>
      <c r="G2" s="2" t="s">
        <v>119</v>
      </c>
      <c r="I2" s="2">
        <v>0.0</v>
      </c>
    </row>
    <row r="3">
      <c r="A3" s="2" t="s">
        <v>120</v>
      </c>
      <c r="B3" s="2" t="s">
        <v>121</v>
      </c>
      <c r="C3" s="2" t="s">
        <v>117</v>
      </c>
      <c r="D3" s="7" t="s">
        <v>122</v>
      </c>
      <c r="I3" s="2">
        <v>1.0</v>
      </c>
    </row>
    <row r="4">
      <c r="A4" s="2" t="s">
        <v>123</v>
      </c>
      <c r="B4" s="2" t="s">
        <v>124</v>
      </c>
      <c r="C4" s="2" t="s">
        <v>117</v>
      </c>
      <c r="D4" s="7" t="s">
        <v>125</v>
      </c>
      <c r="I4" s="2">
        <v>1.0</v>
      </c>
    </row>
    <row r="5">
      <c r="A5" s="2" t="s">
        <v>126</v>
      </c>
      <c r="B5" s="2" t="s">
        <v>127</v>
      </c>
      <c r="C5" s="2" t="s">
        <v>117</v>
      </c>
      <c r="D5" s="6" t="s">
        <v>128</v>
      </c>
      <c r="I5" s="2">
        <v>1.0</v>
      </c>
    </row>
    <row r="6">
      <c r="A6" s="2" t="s">
        <v>129</v>
      </c>
      <c r="B6" s="2" t="s">
        <v>130</v>
      </c>
      <c r="C6" s="2" t="s">
        <v>117</v>
      </c>
      <c r="D6" s="6" t="s">
        <v>131</v>
      </c>
      <c r="I6" s="2">
        <v>1.0</v>
      </c>
    </row>
    <row r="7">
      <c r="A7" s="2" t="s">
        <v>132</v>
      </c>
      <c r="B7" s="2" t="s">
        <v>133</v>
      </c>
      <c r="C7" s="2" t="s">
        <v>117</v>
      </c>
      <c r="D7" s="6" t="s">
        <v>134</v>
      </c>
      <c r="I7" s="2">
        <v>0.0</v>
      </c>
    </row>
    <row r="8">
      <c r="A8" s="2" t="s">
        <v>135</v>
      </c>
      <c r="B8" s="2" t="s">
        <v>136</v>
      </c>
      <c r="C8" s="2" t="s">
        <v>117</v>
      </c>
      <c r="D8" s="6" t="s">
        <v>137</v>
      </c>
      <c r="I8" s="2">
        <v>1.0</v>
      </c>
    </row>
    <row r="9">
      <c r="A9" s="2" t="s">
        <v>138</v>
      </c>
      <c r="B9" s="2" t="s">
        <v>139</v>
      </c>
      <c r="C9" s="2" t="s">
        <v>117</v>
      </c>
      <c r="D9" s="6" t="s">
        <v>140</v>
      </c>
      <c r="I9" s="2">
        <v>1.0</v>
      </c>
    </row>
    <row r="10">
      <c r="A10" s="2" t="s">
        <v>141</v>
      </c>
      <c r="B10" s="2" t="s">
        <v>142</v>
      </c>
      <c r="C10" s="2" t="s">
        <v>117</v>
      </c>
      <c r="D10" s="6" t="s">
        <v>143</v>
      </c>
      <c r="I10" s="2">
        <v>1.0</v>
      </c>
    </row>
    <row r="11">
      <c r="A11" s="2" t="s">
        <v>144</v>
      </c>
      <c r="B11" s="2" t="s">
        <v>145</v>
      </c>
      <c r="C11" s="2" t="s">
        <v>117</v>
      </c>
      <c r="D11" s="6" t="s">
        <v>146</v>
      </c>
      <c r="I11" s="2">
        <v>1.0</v>
      </c>
    </row>
    <row r="12">
      <c r="A12" s="2" t="s">
        <v>147</v>
      </c>
      <c r="B12" s="6" t="s">
        <v>148</v>
      </c>
      <c r="C12" s="2" t="s">
        <v>117</v>
      </c>
      <c r="D12" s="6" t="s">
        <v>149</v>
      </c>
      <c r="I12" s="2">
        <v>0.0</v>
      </c>
    </row>
    <row r="13">
      <c r="A13" s="2" t="s">
        <v>150</v>
      </c>
      <c r="B13" s="2" t="s">
        <v>151</v>
      </c>
      <c r="C13" s="2" t="s">
        <v>117</v>
      </c>
      <c r="D13" s="6" t="s">
        <v>152</v>
      </c>
      <c r="I13" s="2">
        <v>1.0</v>
      </c>
    </row>
    <row r="14">
      <c r="A14" s="2" t="s">
        <v>153</v>
      </c>
      <c r="B14" s="2" t="s">
        <v>154</v>
      </c>
      <c r="C14" s="2" t="s">
        <v>117</v>
      </c>
      <c r="D14" s="6" t="s">
        <v>155</v>
      </c>
      <c r="I14" s="2">
        <v>0.0</v>
      </c>
    </row>
    <row r="15">
      <c r="A15" s="2" t="s">
        <v>156</v>
      </c>
      <c r="B15" s="6" t="s">
        <v>157</v>
      </c>
      <c r="C15" s="2" t="s">
        <v>117</v>
      </c>
      <c r="I15" s="2">
        <v>0.0</v>
      </c>
    </row>
    <row r="16">
      <c r="A16" s="2" t="s">
        <v>158</v>
      </c>
      <c r="B16" s="2" t="s">
        <v>159</v>
      </c>
      <c r="C16" s="2" t="s">
        <v>117</v>
      </c>
      <c r="D16" s="6" t="s">
        <v>160</v>
      </c>
      <c r="I16" s="2">
        <v>0.0</v>
      </c>
    </row>
    <row r="17">
      <c r="A17" s="2" t="s">
        <v>161</v>
      </c>
      <c r="B17" s="2" t="s">
        <v>162</v>
      </c>
      <c r="C17" s="2" t="s">
        <v>117</v>
      </c>
      <c r="D17" s="6" t="s">
        <v>163</v>
      </c>
      <c r="I17" s="2">
        <v>0.0</v>
      </c>
    </row>
    <row r="18">
      <c r="A18" s="2" t="s">
        <v>164</v>
      </c>
      <c r="B18" s="6" t="s">
        <v>165</v>
      </c>
      <c r="C18" s="2" t="s">
        <v>117</v>
      </c>
      <c r="D18" s="6" t="s">
        <v>166</v>
      </c>
      <c r="I18" s="2"/>
    </row>
    <row r="19">
      <c r="A19" s="2" t="s">
        <v>167</v>
      </c>
      <c r="B19" s="6" t="s">
        <v>168</v>
      </c>
      <c r="C19" s="2" t="s">
        <v>117</v>
      </c>
      <c r="D19" s="6" t="s">
        <v>169</v>
      </c>
    </row>
    <row r="20">
      <c r="A20" s="2" t="s">
        <v>170</v>
      </c>
      <c r="B20" s="6" t="s">
        <v>171</v>
      </c>
      <c r="C20" s="2" t="s">
        <v>117</v>
      </c>
      <c r="D20" s="6" t="s">
        <v>172</v>
      </c>
    </row>
    <row r="21">
      <c r="A21" s="2" t="s">
        <v>173</v>
      </c>
      <c r="B21" s="6" t="s">
        <v>174</v>
      </c>
      <c r="C21" s="2" t="s">
        <v>117</v>
      </c>
      <c r="D21" s="6" t="s">
        <v>175</v>
      </c>
    </row>
    <row r="22">
      <c r="A22" s="2" t="s">
        <v>176</v>
      </c>
      <c r="B22" s="6" t="s">
        <v>177</v>
      </c>
      <c r="C22" s="2" t="s">
        <v>117</v>
      </c>
      <c r="D22" s="6" t="s">
        <v>178</v>
      </c>
    </row>
    <row r="23">
      <c r="A23" s="2" t="s">
        <v>179</v>
      </c>
      <c r="B23" s="6" t="s">
        <v>180</v>
      </c>
      <c r="C23" s="2" t="s">
        <v>117</v>
      </c>
      <c r="D23" s="6" t="s">
        <v>181</v>
      </c>
    </row>
    <row r="24">
      <c r="A24" s="2" t="s">
        <v>182</v>
      </c>
      <c r="B24" s="6" t="s">
        <v>183</v>
      </c>
      <c r="C24" s="2" t="s">
        <v>117</v>
      </c>
      <c r="D24" s="6" t="s">
        <v>184</v>
      </c>
    </row>
    <row r="25">
      <c r="A25" s="2" t="s">
        <v>185</v>
      </c>
      <c r="B25" s="8" t="s">
        <v>186</v>
      </c>
      <c r="C25" s="2" t="s">
        <v>117</v>
      </c>
      <c r="D25" s="6" t="s">
        <v>187</v>
      </c>
    </row>
    <row r="26">
      <c r="A26" s="2" t="s">
        <v>188</v>
      </c>
      <c r="B26" s="6" t="s">
        <v>189</v>
      </c>
      <c r="C26" s="2" t="s">
        <v>117</v>
      </c>
      <c r="D26" s="6" t="s">
        <v>190</v>
      </c>
    </row>
    <row r="27">
      <c r="A27" s="2" t="s">
        <v>191</v>
      </c>
      <c r="B27" s="2" t="s">
        <v>192</v>
      </c>
      <c r="C27" s="2" t="s">
        <v>117</v>
      </c>
      <c r="D27" s="6" t="s">
        <v>193</v>
      </c>
    </row>
    <row r="28">
      <c r="A28" s="2" t="s">
        <v>194</v>
      </c>
      <c r="B28" s="2" t="s">
        <v>195</v>
      </c>
      <c r="C28" s="2" t="s">
        <v>117</v>
      </c>
      <c r="D28" s="6" t="s">
        <v>196</v>
      </c>
    </row>
    <row r="29">
      <c r="A29" s="9" t="s">
        <v>197</v>
      </c>
      <c r="B29" s="10" t="s">
        <v>198</v>
      </c>
      <c r="C29" s="2" t="s">
        <v>117</v>
      </c>
      <c r="D29" s="6" t="s">
        <v>199</v>
      </c>
    </row>
    <row r="30">
      <c r="A30" s="2" t="s">
        <v>200</v>
      </c>
      <c r="B30" s="6" t="s">
        <v>201</v>
      </c>
      <c r="C30" s="2" t="s">
        <v>117</v>
      </c>
      <c r="D30" s="6" t="s">
        <v>202</v>
      </c>
    </row>
    <row r="31">
      <c r="A31" s="2" t="s">
        <v>203</v>
      </c>
      <c r="B31" s="11" t="s">
        <v>204</v>
      </c>
      <c r="C31" s="2" t="s">
        <v>117</v>
      </c>
      <c r="D31" s="6" t="s">
        <v>205</v>
      </c>
    </row>
    <row r="32">
      <c r="A32" s="2" t="s">
        <v>206</v>
      </c>
      <c r="B32" s="6" t="s">
        <v>207</v>
      </c>
      <c r="C32" s="2" t="s">
        <v>117</v>
      </c>
      <c r="D32" s="6" t="s">
        <v>208</v>
      </c>
    </row>
    <row r="33">
      <c r="A33" s="2" t="s">
        <v>209</v>
      </c>
      <c r="B33" s="2" t="s">
        <v>210</v>
      </c>
      <c r="C33" s="2" t="s">
        <v>117</v>
      </c>
      <c r="D33" s="6" t="s">
        <v>211</v>
      </c>
    </row>
    <row r="34">
      <c r="A34" s="2" t="s">
        <v>212</v>
      </c>
      <c r="B34" s="2" t="s">
        <v>213</v>
      </c>
      <c r="C34" s="2" t="s">
        <v>117</v>
      </c>
      <c r="D34" s="6" t="s">
        <v>214</v>
      </c>
    </row>
    <row r="35">
      <c r="A35" s="2" t="s">
        <v>215</v>
      </c>
      <c r="B35" s="6" t="s">
        <v>216</v>
      </c>
      <c r="C35" s="2" t="s">
        <v>117</v>
      </c>
      <c r="D35" s="6" t="s">
        <v>217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B12"/>
    <hyperlink r:id="rId12" ref="D12"/>
    <hyperlink r:id="rId13" ref="D13"/>
    <hyperlink r:id="rId14" ref="D14"/>
    <hyperlink r:id="rId15" ref="B15"/>
    <hyperlink r:id="rId16" ref="D16"/>
    <hyperlink r:id="rId17" ref="D17"/>
    <hyperlink r:id="rId18" location="i-2" ref="B18"/>
    <hyperlink r:id="rId19" ref="D18"/>
    <hyperlink r:id="rId20" ref="B19"/>
    <hyperlink r:id="rId21" ref="D19"/>
    <hyperlink r:id="rId22" ref="B20"/>
    <hyperlink r:id="rId23" ref="D20"/>
    <hyperlink r:id="rId24" ref="B21"/>
    <hyperlink r:id="rId25" ref="D21"/>
    <hyperlink r:id="rId26" ref="B22"/>
    <hyperlink r:id="rId27" ref="D22"/>
    <hyperlink r:id="rId28" ref="B23"/>
    <hyperlink r:id="rId29" ref="D23"/>
    <hyperlink r:id="rId30" ref="B24"/>
    <hyperlink r:id="rId31" ref="D24"/>
    <hyperlink r:id="rId32" ref="D25"/>
    <hyperlink r:id="rId33" ref="B26"/>
    <hyperlink r:id="rId34" ref="D26"/>
    <hyperlink r:id="rId35" ref="D27"/>
    <hyperlink r:id="rId36" ref="D28"/>
    <hyperlink r:id="rId37" ref="D29"/>
    <hyperlink r:id="rId38" location="cbox-open" ref="B30"/>
    <hyperlink r:id="rId39" ref="D30"/>
    <hyperlink r:id="rId40" ref="D31"/>
    <hyperlink r:id="rId41" ref="B32"/>
    <hyperlink r:id="rId42" ref="D32"/>
    <hyperlink r:id="rId43" ref="D33"/>
    <hyperlink r:id="rId44" ref="D34"/>
    <hyperlink r:id="rId45" ref="B35"/>
    <hyperlink r:id="rId46" ref="D35"/>
  </hyperlinks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2</v>
      </c>
      <c r="C1" s="2" t="s">
        <v>113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K1" s="2" t="s">
        <v>117</v>
      </c>
    </row>
    <row r="2">
      <c r="A2" s="2" t="s">
        <v>223</v>
      </c>
      <c r="B2" s="6" t="s">
        <v>224</v>
      </c>
      <c r="C2" s="2" t="s">
        <v>117</v>
      </c>
      <c r="D2" s="6" t="s">
        <v>225</v>
      </c>
      <c r="K2" s="2" t="s">
        <v>117</v>
      </c>
    </row>
    <row r="3">
      <c r="A3" s="2" t="s">
        <v>226</v>
      </c>
      <c r="B3" s="6" t="s">
        <v>227</v>
      </c>
      <c r="C3" s="2" t="s">
        <v>117</v>
      </c>
      <c r="D3" s="6" t="s">
        <v>228</v>
      </c>
      <c r="K3" s="2" t="s">
        <v>117</v>
      </c>
    </row>
    <row r="4">
      <c r="A4" s="2" t="s">
        <v>229</v>
      </c>
      <c r="B4" s="6" t="s">
        <v>230</v>
      </c>
      <c r="C4" s="2" t="s">
        <v>117</v>
      </c>
      <c r="D4" s="6" t="s">
        <v>231</v>
      </c>
      <c r="K4" s="2" t="s">
        <v>117</v>
      </c>
    </row>
    <row r="5">
      <c r="A5" s="2" t="s">
        <v>232</v>
      </c>
      <c r="B5" s="6" t="s">
        <v>233</v>
      </c>
      <c r="C5" s="2" t="s">
        <v>117</v>
      </c>
      <c r="D5" s="6" t="s">
        <v>234</v>
      </c>
      <c r="K5" s="2" t="s">
        <v>117</v>
      </c>
    </row>
    <row r="6">
      <c r="A6" s="2" t="s">
        <v>235</v>
      </c>
      <c r="B6" s="6" t="s">
        <v>236</v>
      </c>
      <c r="C6" s="2" t="s">
        <v>117</v>
      </c>
      <c r="D6" s="6" t="s">
        <v>237</v>
      </c>
      <c r="K6" s="2" t="s">
        <v>117</v>
      </c>
    </row>
    <row r="7">
      <c r="A7" s="2" t="s">
        <v>238</v>
      </c>
      <c r="B7" s="6" t="s">
        <v>239</v>
      </c>
      <c r="C7" s="2" t="s">
        <v>117</v>
      </c>
      <c r="D7" s="6" t="s">
        <v>240</v>
      </c>
      <c r="K7" s="2" t="s">
        <v>117</v>
      </c>
    </row>
    <row r="8">
      <c r="A8" s="2" t="s">
        <v>241</v>
      </c>
      <c r="B8" s="6" t="s">
        <v>242</v>
      </c>
      <c r="C8" s="2" t="s">
        <v>117</v>
      </c>
      <c r="D8" s="6" t="s">
        <v>243</v>
      </c>
      <c r="K8" s="2" t="s">
        <v>117</v>
      </c>
    </row>
    <row r="9">
      <c r="A9" s="2" t="s">
        <v>244</v>
      </c>
      <c r="B9" s="2" t="s">
        <v>245</v>
      </c>
      <c r="C9" s="2" t="s">
        <v>117</v>
      </c>
      <c r="D9" s="6" t="s">
        <v>246</v>
      </c>
      <c r="K9" s="2" t="s">
        <v>117</v>
      </c>
    </row>
    <row r="10">
      <c r="A10" s="2" t="s">
        <v>247</v>
      </c>
      <c r="B10" s="6" t="s">
        <v>248</v>
      </c>
      <c r="C10" s="2" t="s">
        <v>117</v>
      </c>
      <c r="D10" s="6" t="s">
        <v>249</v>
      </c>
      <c r="K10" s="2" t="s">
        <v>117</v>
      </c>
    </row>
    <row r="11">
      <c r="A11" s="2" t="s">
        <v>250</v>
      </c>
      <c r="B11" s="2" t="s">
        <v>251</v>
      </c>
      <c r="C11" s="2" t="s">
        <v>117</v>
      </c>
      <c r="D11" s="6" t="s">
        <v>252</v>
      </c>
      <c r="K11" s="2" t="s">
        <v>117</v>
      </c>
    </row>
    <row r="12">
      <c r="A12" s="2" t="s">
        <v>253</v>
      </c>
      <c r="B12" s="2" t="s">
        <v>254</v>
      </c>
      <c r="C12" s="2" t="s">
        <v>117</v>
      </c>
      <c r="D12" s="6" t="s">
        <v>255</v>
      </c>
      <c r="K12" s="2" t="s">
        <v>117</v>
      </c>
    </row>
    <row r="13">
      <c r="A13" s="2" t="s">
        <v>256</v>
      </c>
      <c r="B13" s="6" t="s">
        <v>257</v>
      </c>
      <c r="C13" s="2" t="s">
        <v>117</v>
      </c>
      <c r="D13" s="6" t="s">
        <v>258</v>
      </c>
      <c r="K13" s="2" t="s">
        <v>117</v>
      </c>
    </row>
    <row r="14">
      <c r="A14" s="2" t="s">
        <v>259</v>
      </c>
      <c r="B14" s="6" t="s">
        <v>260</v>
      </c>
      <c r="C14" s="2" t="s">
        <v>117</v>
      </c>
      <c r="D14" s="6" t="s">
        <v>261</v>
      </c>
      <c r="K14" s="2" t="s">
        <v>117</v>
      </c>
    </row>
    <row r="15">
      <c r="A15" s="2" t="s">
        <v>262</v>
      </c>
      <c r="B15" s="6" t="s">
        <v>263</v>
      </c>
      <c r="C15" s="2" t="s">
        <v>117</v>
      </c>
      <c r="D15" s="6" t="s">
        <v>264</v>
      </c>
      <c r="K15" s="2" t="s">
        <v>117</v>
      </c>
    </row>
    <row r="16">
      <c r="A16" s="2" t="s">
        <v>265</v>
      </c>
      <c r="B16" s="6" t="s">
        <v>266</v>
      </c>
      <c r="C16" s="2" t="s">
        <v>117</v>
      </c>
      <c r="D16" s="6" t="s">
        <v>267</v>
      </c>
      <c r="K16" s="2" t="s">
        <v>117</v>
      </c>
    </row>
    <row r="17">
      <c r="A17" s="2" t="s">
        <v>268</v>
      </c>
      <c r="B17" s="6" t="s">
        <v>269</v>
      </c>
      <c r="C17" s="2" t="s">
        <v>117</v>
      </c>
      <c r="D17" s="6" t="s">
        <v>270</v>
      </c>
      <c r="K17" s="2" t="s">
        <v>117</v>
      </c>
    </row>
    <row r="18">
      <c r="A18" s="2" t="s">
        <v>271</v>
      </c>
      <c r="B18" s="6" t="s">
        <v>272</v>
      </c>
      <c r="C18" s="2" t="s">
        <v>117</v>
      </c>
      <c r="D18" s="6" t="s">
        <v>273</v>
      </c>
      <c r="K18" s="2" t="s">
        <v>117</v>
      </c>
    </row>
    <row r="19">
      <c r="A19" s="2" t="s">
        <v>274</v>
      </c>
      <c r="B19" s="6" t="s">
        <v>275</v>
      </c>
      <c r="C19" s="2" t="s">
        <v>117</v>
      </c>
      <c r="D19" s="6" t="s">
        <v>276</v>
      </c>
      <c r="K19" s="2" t="s">
        <v>117</v>
      </c>
    </row>
    <row r="20">
      <c r="A20" s="2" t="s">
        <v>277</v>
      </c>
      <c r="B20" s="6" t="s">
        <v>278</v>
      </c>
      <c r="C20" s="2" t="s">
        <v>117</v>
      </c>
      <c r="D20" s="6" t="s">
        <v>279</v>
      </c>
      <c r="K20" s="2" t="s">
        <v>117</v>
      </c>
    </row>
    <row r="21">
      <c r="A21" s="2" t="s">
        <v>280</v>
      </c>
      <c r="B21" s="6" t="s">
        <v>281</v>
      </c>
      <c r="C21" s="2" t="s">
        <v>117</v>
      </c>
      <c r="D21" s="6" t="s">
        <v>282</v>
      </c>
      <c r="K21" s="2" t="s">
        <v>117</v>
      </c>
    </row>
    <row r="22">
      <c r="A22" s="2" t="s">
        <v>283</v>
      </c>
      <c r="B22" s="6" t="s">
        <v>284</v>
      </c>
      <c r="C22" s="2" t="s">
        <v>117</v>
      </c>
      <c r="D22" s="6" t="s">
        <v>285</v>
      </c>
      <c r="K22" s="2" t="s">
        <v>117</v>
      </c>
    </row>
    <row r="23">
      <c r="A23" s="2" t="s">
        <v>286</v>
      </c>
      <c r="B23" s="2" t="s">
        <v>287</v>
      </c>
      <c r="C23" s="2" t="s">
        <v>117</v>
      </c>
      <c r="D23" s="6" t="s">
        <v>288</v>
      </c>
      <c r="K23" s="2" t="s">
        <v>117</v>
      </c>
    </row>
    <row r="24">
      <c r="A24" s="2" t="s">
        <v>289</v>
      </c>
      <c r="B24" s="2" t="s">
        <v>290</v>
      </c>
      <c r="C24" s="2" t="s">
        <v>117</v>
      </c>
      <c r="D24" s="6" t="s">
        <v>291</v>
      </c>
      <c r="K24" s="2" t="s">
        <v>117</v>
      </c>
    </row>
    <row r="25">
      <c r="A25" s="2" t="s">
        <v>292</v>
      </c>
      <c r="B25" s="6" t="s">
        <v>293</v>
      </c>
      <c r="C25" s="2" t="s">
        <v>117</v>
      </c>
      <c r="D25" s="6" t="s">
        <v>294</v>
      </c>
      <c r="K25" s="2" t="s">
        <v>117</v>
      </c>
    </row>
    <row r="26">
      <c r="A26" s="2" t="s">
        <v>295</v>
      </c>
      <c r="B26" s="6" t="s">
        <v>296</v>
      </c>
      <c r="C26" s="2" t="s">
        <v>117</v>
      </c>
      <c r="D26" s="6" t="s">
        <v>297</v>
      </c>
      <c r="K26" s="2" t="s">
        <v>117</v>
      </c>
    </row>
    <row r="27">
      <c r="A27" s="2" t="s">
        <v>298</v>
      </c>
      <c r="B27" s="6" t="s">
        <v>299</v>
      </c>
      <c r="C27" s="2" t="s">
        <v>117</v>
      </c>
      <c r="D27" s="6" t="s">
        <v>300</v>
      </c>
      <c r="K27" s="2" t="s">
        <v>117</v>
      </c>
    </row>
    <row r="28">
      <c r="A28" s="2" t="s">
        <v>301</v>
      </c>
      <c r="B28" s="12" t="s">
        <v>302</v>
      </c>
      <c r="C28" s="2" t="s">
        <v>117</v>
      </c>
      <c r="D28" s="6" t="s">
        <v>303</v>
      </c>
      <c r="K28" s="2" t="s">
        <v>117</v>
      </c>
    </row>
    <row r="29">
      <c r="A29" s="2" t="s">
        <v>304</v>
      </c>
      <c r="B29" s="13" t="s">
        <v>305</v>
      </c>
      <c r="C29" s="2" t="s">
        <v>117</v>
      </c>
      <c r="D29" s="6" t="s">
        <v>306</v>
      </c>
      <c r="K29" s="2" t="s">
        <v>117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location="cbox-open" ref="B7"/>
    <hyperlink r:id="rId12" ref="D7"/>
    <hyperlink r:id="rId13" ref="B8"/>
    <hyperlink r:id="rId14" ref="D8"/>
    <hyperlink r:id="rId15" ref="D9"/>
    <hyperlink r:id="rId16" ref="B10"/>
    <hyperlink r:id="rId17" ref="D10"/>
    <hyperlink r:id="rId18" ref="D11"/>
    <hyperlink r:id="rId19" ref="D12"/>
    <hyperlink r:id="rId20" ref="B13"/>
    <hyperlink r:id="rId21" ref="D13"/>
    <hyperlink r:id="rId22" ref="B14"/>
    <hyperlink r:id="rId23" ref="D14"/>
    <hyperlink r:id="rId24" ref="B15"/>
    <hyperlink r:id="rId25" ref="D15"/>
    <hyperlink r:id="rId26" ref="B16"/>
    <hyperlink r:id="rId27" ref="D16"/>
    <hyperlink r:id="rId28" location="cbox-open" ref="B17"/>
    <hyperlink r:id="rId29" ref="D17"/>
    <hyperlink r:id="rId30" ref="B18"/>
    <hyperlink r:id="rId31" ref="D18"/>
    <hyperlink r:id="rId32" ref="B19"/>
    <hyperlink r:id="rId33" ref="D19"/>
    <hyperlink r:id="rId34" ref="B20"/>
    <hyperlink r:id="rId35" ref="D20"/>
    <hyperlink r:id="rId36" ref="B21"/>
    <hyperlink r:id="rId37" ref="D21"/>
    <hyperlink r:id="rId38" ref="B22"/>
    <hyperlink r:id="rId39" ref="D22"/>
    <hyperlink r:id="rId40" ref="D23"/>
    <hyperlink r:id="rId41" ref="D24"/>
    <hyperlink r:id="rId42" ref="B25"/>
    <hyperlink r:id="rId43" ref="D25"/>
    <hyperlink r:id="rId44" ref="B26"/>
    <hyperlink r:id="rId45" ref="D26"/>
    <hyperlink r:id="rId46" ref="B27"/>
    <hyperlink r:id="rId47" ref="D27"/>
    <hyperlink r:id="rId48" ref="D28"/>
    <hyperlink r:id="rId49" ref="B29"/>
    <hyperlink r:id="rId50" ref="D29"/>
  </hyperlinks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