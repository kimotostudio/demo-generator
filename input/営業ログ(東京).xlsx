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Main2" sheetId="2" r:id="rId6"/>
    <sheet state="visible" name="Main3" sheetId="3" r:id="rId7"/>
    <sheet state="visible" name="八王子" sheetId="4" r:id="rId8"/>
    <sheet state="visible" name="調布市" sheetId="5" r:id="rId9"/>
    <sheet state="visible" name="府中市" sheetId="6" r:id="rId10"/>
    <sheet state="visible" name="足立区" sheetId="7" r:id="rId11"/>
    <sheet state="visible" name="大田区" sheetId="8" r:id="rId12"/>
    <sheet state="visible" name="江戸川区" sheetId="9" r:id="rId13"/>
    <sheet state="visible" name="葛飾区" sheetId="10" r:id="rId14"/>
    <sheet state="visible" name="板橋区" sheetId="11" r:id="rId15"/>
    <sheet state="visible" name="中野区" sheetId="12" r:id="rId16"/>
    <sheet state="visible" name="杉並区" sheetId="13" r:id="rId17"/>
    <sheet state="visible" name="練馬区" sheetId="14" r:id="rId18"/>
    <sheet state="visible" name="北区" sheetId="15" r:id="rId19"/>
    <sheet state="visible" name="江東区" sheetId="16" r:id="rId20"/>
    <sheet state="visible" name="Sheet1" sheetId="17" r:id="rId21"/>
    <sheet state="visible" name="追加" sheetId="18" r:id="rId22"/>
  </sheets>
  <definedNames/>
  <calcPr/>
</workbook>
</file>

<file path=xl/sharedStrings.xml><?xml version="1.0" encoding="utf-8"?>
<sst xmlns="http://schemas.openxmlformats.org/spreadsheetml/2006/main" count="4314" uniqueCount="1749">
  <si>
    <t>id</t>
  </si>
  <si>
    <t>店名</t>
  </si>
  <si>
    <t>メアド</t>
  </si>
  <si>
    <t>url(旧)</t>
  </si>
  <si>
    <t>url(デモ)</t>
  </si>
  <si>
    <t>url(完成)</t>
  </si>
  <si>
    <t>password</t>
  </si>
  <si>
    <t>ステータス(0-4)</t>
  </si>
  <si>
    <t>0 送る前</t>
  </si>
  <si>
    <t>杉並</t>
  </si>
  <si>
    <t>1 送信済み</t>
  </si>
  <si>
    <t>デモurl A</t>
  </si>
  <si>
    <t>デモurl B</t>
  </si>
  <si>
    <t>2 返信あり</t>
  </si>
  <si>
    <t>https://kimotostudio21.netlify.app/0200/</t>
  </si>
  <si>
    <t>3 納品</t>
  </si>
  <si>
    <t>https://kimotostudio21.netlify.app/0201/</t>
  </si>
  <si>
    <t>4 完了</t>
  </si>
  <si>
    <t>https://kimotostudio21.netlify.app/0202/</t>
  </si>
  <si>
    <t>https://kimotostudio21.netlify.app/0203/</t>
  </si>
  <si>
    <t>https://kimotostudio21.netlify.app/0204/</t>
  </si>
  <si>
    <t>https://kimotostudio21.netlify.app/0205/</t>
  </si>
  <si>
    <t>https://kimotostudio21.netlify.app/0206/</t>
  </si>
  <si>
    <t>https://kimotostudio21.netlify.app/0207/</t>
  </si>
  <si>
    <t>https://kimotostudio21.netlify.app/0208/</t>
  </si>
  <si>
    <t>https://kimotostudio21.netlify.app/0209/</t>
  </si>
  <si>
    <t>https://kimotostudio21.netlify.app/0210/</t>
  </si>
  <si>
    <t>https://kimotostudio21.netlify.app/0211/</t>
  </si>
  <si>
    <t>https://kimotostudio21.netlify.app/0212/</t>
  </si>
  <si>
    <t>https://kimotostudio21.netlify.app/0213/</t>
  </si>
  <si>
    <t>https://kimotostudio21.netlify.app/0214/</t>
  </si>
  <si>
    <t>https://kimotostudio21.netlify.app/0215/</t>
  </si>
  <si>
    <t>https://kimotostudio21.netlify.app/0216/</t>
  </si>
  <si>
    <t>https://kimotostudio21.netlify.app/0217/</t>
  </si>
  <si>
    <t>https://kimotostudio21.netlify.app/0218/</t>
  </si>
  <si>
    <t>https://kimotostudio21.netlify.app/0219/</t>
  </si>
  <si>
    <t>https://kimotostudio21.netlify.app/0220/</t>
  </si>
  <si>
    <t>https://kimotostudio21.netlify.app/0221/</t>
  </si>
  <si>
    <t>https://kimotostudio21.netlify.app/0222/</t>
  </si>
  <si>
    <t>https://kimotostudio21.netlify.app/0223/</t>
  </si>
  <si>
    <t>https://kimotostudio21.netlify.app/0224/</t>
  </si>
  <si>
    <t>https://kimotostudio21.netlify.app/0225/</t>
  </si>
  <si>
    <t>https://kimotostudio21.netlify.app/0226/</t>
  </si>
  <si>
    <t>https://kimotostudio21.netlify.app/0227/</t>
  </si>
  <si>
    <t>https://kimotostudio21.netlify.app/0228/</t>
  </si>
  <si>
    <t>https://kimotostudio21.netlify.app/0229/</t>
  </si>
  <si>
    <t>https://kimotostudio21.netlify.app/0230/</t>
  </si>
  <si>
    <t>https://kimotostudio21.netlify.app/0231/</t>
  </si>
  <si>
    <t>https://kimotostudio21.netlify.app/0232/</t>
  </si>
  <si>
    <t>板橋</t>
  </si>
  <si>
    <t>https://kimotostudio21.netlify.app/0233/</t>
  </si>
  <si>
    <t>https://kimotostudio21.netlify.app/0234/</t>
  </si>
  <si>
    <t>https://kimotostudio21.netlify.app/0235/</t>
  </si>
  <si>
    <t>https://kimotostudio21.netlify.app/0236/</t>
  </si>
  <si>
    <t>https://kimotostudio21.netlify.app/0237/</t>
  </si>
  <si>
    <t>https://kimotostudio21.netlify.app/0238/</t>
  </si>
  <si>
    <t>https://kimotostudio21.netlify.app/0239/</t>
  </si>
  <si>
    <t>https://kimotostudio21.netlify.app/0240/</t>
  </si>
  <si>
    <t>https://kimotostudio21.netlify.app/0241/</t>
  </si>
  <si>
    <t>https://kimotostudio21.netlify.app/0242/</t>
  </si>
  <si>
    <t>https://kimotostudio21.netlify.app/0243/</t>
  </si>
  <si>
    <t>https://kimotostudio21.netlify.app/0244/</t>
  </si>
  <si>
    <t>https://kimotostudio21.netlify.app/0245/</t>
  </si>
  <si>
    <t>https://kimotostudio21.netlify.app/0246/</t>
  </si>
  <si>
    <t>https://kimotostudio21.netlify.app/0247/</t>
  </si>
  <si>
    <t>https://kimotostudio21.netlify.app/0248/</t>
  </si>
  <si>
    <t>https://kimotostudio21.netlify.app/0249/</t>
  </si>
  <si>
    <t>https://kimotostudio21.netlify.app/0250/</t>
  </si>
  <si>
    <t>https://kimotostudio21.netlify.app/0251/</t>
  </si>
  <si>
    <t>https://kimotostudio21.netlify.app/0252/</t>
  </si>
  <si>
    <t>https://kimotostudio21.netlify.app/0253/</t>
  </si>
  <si>
    <t>https://kimotostudio21.netlify.app/0254/</t>
  </si>
  <si>
    <t>https://kimotostudio21.netlify.app/0255/</t>
  </si>
  <si>
    <t>https://kimotostudio21.netlify.app/0256/</t>
  </si>
  <si>
    <t>https://kimotostudio21.netlify.app/0257/</t>
  </si>
  <si>
    <t>https://kimotostudio21.netlify.app/0258/</t>
  </si>
  <si>
    <t>https://kimotostudio21.netlify.app/0259/</t>
  </si>
  <si>
    <t>https://kimotostudio21.netlify.app/0260/</t>
  </si>
  <si>
    <t>https://kimotostudio21.netlify.app/0261/</t>
  </si>
  <si>
    <t>北区</t>
  </si>
  <si>
    <t>https://kimotostudio21.netlify.app/0262/</t>
  </si>
  <si>
    <t>https://kimotostudio21.netlify.app/0263/</t>
  </si>
  <si>
    <t>https://kimotostudio21.netlify.app/0264/</t>
  </si>
  <si>
    <t>https://kimotostudio21.netlify.app/0265/</t>
  </si>
  <si>
    <t>https://kimotostudio21.netlify.app/0266/</t>
  </si>
  <si>
    <t>https://kimotostudio21.netlify.app/0267/</t>
  </si>
  <si>
    <t>https://kimotostudio21.netlify.app/0268/</t>
  </si>
  <si>
    <t>https://kimotostudio21.netlify.app/0269/</t>
  </si>
  <si>
    <t>https://kimotostudio21.netlify.app/0270/</t>
  </si>
  <si>
    <t>https://kimotostudio21.netlify.app/0271/</t>
  </si>
  <si>
    <t>https://kimotostudio21.netlify.app/0272/</t>
  </si>
  <si>
    <t>https://kimotostudio21.netlify.app/0273/</t>
  </si>
  <si>
    <t>https://kimotostudio21.netlify.app/0274/</t>
  </si>
  <si>
    <t>https://kimotostudio21.netlify.app/0275/</t>
  </si>
  <si>
    <t>https://kimotostudio21.netlify.app/0276/</t>
  </si>
  <si>
    <t>中野区</t>
  </si>
  <si>
    <t>https://kimotostudio21.netlify.app/0277/</t>
  </si>
  <si>
    <t>https://kimotostudio21.netlify.app/0278/</t>
  </si>
  <si>
    <t>https://kimotostudio21.netlify.app/0279/</t>
  </si>
  <si>
    <t>https://kimotostudio21.netlify.app/0280/</t>
  </si>
  <si>
    <t>https://kimotostudio21.netlify.app/0281/</t>
  </si>
  <si>
    <t>https://kimotostudio21.netlify.app/0282/</t>
  </si>
  <si>
    <t>https://kimotostudio21.netlify.app/0283/</t>
  </si>
  <si>
    <t>https://kimotostudio21.netlify.app/0284/</t>
  </si>
  <si>
    <t>https://kimotostudio21.netlify.app/0285/</t>
  </si>
  <si>
    <t>https://kimotostudio21.netlify.app/0286/</t>
  </si>
  <si>
    <t>https://kimotostudio21.netlify.app/0287/</t>
  </si>
  <si>
    <t>https://kimotostudio21.netlify.app/0288/</t>
  </si>
  <si>
    <t>https://kimotostudio21.netlify.app/0289/</t>
  </si>
  <si>
    <t>https://kimotostudio21.netlify.app/0290/</t>
  </si>
  <si>
    <t>https://kimotostudio21.netlify.app/0291/</t>
  </si>
  <si>
    <t>https://kimotostudio21.netlify.app/0292/</t>
  </si>
  <si>
    <t>https://kimotostudio21.netlify.app/0293/</t>
  </si>
  <si>
    <t>https://kimotostudio21.netlify.app/0294/</t>
  </si>
  <si>
    <t>https://kimotostudio21.netlify.app/0295/</t>
  </si>
  <si>
    <t>https://kimotostudio21.netlify.app/0296/</t>
  </si>
  <si>
    <t>練馬区</t>
  </si>
  <si>
    <t>https://kimotostudio21.netlify.app/0297/</t>
  </si>
  <si>
    <t>https://kimotostudio21.netlify.app/0298/</t>
  </si>
  <si>
    <t>https://kimotostudio21.netlify.app/0299/</t>
  </si>
  <si>
    <t>https://kimotostudio21.netlify.app/0300/</t>
  </si>
  <si>
    <t>https://kimotostudio21.netlify.app/0301/</t>
  </si>
  <si>
    <t>https://kimotostudio21.netlify.app/0302/</t>
  </si>
  <si>
    <t>https://kimotostudio21.netlify.app/0303/</t>
  </si>
  <si>
    <t>https://kimotostudio21.netlify.app/0304/</t>
  </si>
  <si>
    <t>https://kimotostudio21.netlify.app/0305/</t>
  </si>
  <si>
    <t>https://kimotostudio21.netlify.app/0306/</t>
  </si>
  <si>
    <t>https://kimotostudio21.netlify.app/0307/</t>
  </si>
  <si>
    <t>https://kimotostudio21.netlify.app/0308/</t>
  </si>
  <si>
    <t>足立区</t>
  </si>
  <si>
    <t>https://kimotostudio21.netlify.app/0309/</t>
  </si>
  <si>
    <t>https://kimotostudio21.netlify.app/0310/</t>
  </si>
  <si>
    <t>https://kimotostudio21.netlify.app/0311/</t>
  </si>
  <si>
    <t>https://kimotostudio21.netlify.app/0312/</t>
  </si>
  <si>
    <t>https://kimotostudio21.netlify.app/0313/</t>
  </si>
  <si>
    <t>https://kimotostudio21.netlify.app/0314/</t>
  </si>
  <si>
    <t>https://kimotostudio21.netlify.app/0315/</t>
  </si>
  <si>
    <t>https://kimotostudio21.netlify.app/0316/</t>
  </si>
  <si>
    <t>https://kimotostudio21.netlify.app/0317/</t>
  </si>
  <si>
    <t>https://kimotostudio21.netlify.app/0318/</t>
  </si>
  <si>
    <t>葛飾区</t>
  </si>
  <si>
    <t>https://kimotostudio21.netlify.app/0319/</t>
  </si>
  <si>
    <t>https://kimotostudio21.netlify.app/0320/</t>
  </si>
  <si>
    <t>https://kimotostudio21.netlify.app/0321/</t>
  </si>
  <si>
    <t>https://kimotostudio21.netlify.app/0322/</t>
  </si>
  <si>
    <t>https://kimotostudio21.netlify.app/0323/</t>
  </si>
  <si>
    <t>https://kimotostudio21.netlify.app/0324/</t>
  </si>
  <si>
    <t>https://kimotostudio21.netlify.app/0325/</t>
  </si>
  <si>
    <t>https://kimotostudio21.netlify.app/0326/</t>
  </si>
  <si>
    <t>https://kimotostudio21.netlify.app/0327/</t>
  </si>
  <si>
    <t>https://kimotostudio21.netlify.app/0328/</t>
  </si>
  <si>
    <t>https://kimotostudio21.netlify.app/0329/</t>
  </si>
  <si>
    <t>https://kimotostudio21.netlify.app/0330/</t>
  </si>
  <si>
    <t>https://kimotostudio21.netlify.app/0331/</t>
  </si>
  <si>
    <t>https://kimotostudio21.netlify.app/0332/</t>
  </si>
  <si>
    <t>https://kimotostudio21.netlify.app/0333/</t>
  </si>
  <si>
    <t>https://kimotostudio21.netlify.app/0334/</t>
  </si>
  <si>
    <t>https://kimotostudio21.netlify.app/0335/</t>
  </si>
  <si>
    <t>江戸川区</t>
  </si>
  <si>
    <t>https://kimotostudio21.netlify.app/0336/</t>
  </si>
  <si>
    <t>https://kimotostudio21.netlify.app/0337/</t>
  </si>
  <si>
    <t>https://kimotostudio21.netlify.app/0338/</t>
  </si>
  <si>
    <t>https://kimotostudio21.netlify.app/0339/</t>
  </si>
  <si>
    <t>https://kimotostudio21.netlify.app/0340/</t>
  </si>
  <si>
    <t>https://kimotostudio21.netlify.app/0341/</t>
  </si>
  <si>
    <t>https://kimotostudio21.netlify.app/0342/</t>
  </si>
  <si>
    <t>https://kimotostudio21.netlify.app/0343/</t>
  </si>
  <si>
    <t>https://kimotostudio21.netlify.app/0344/</t>
  </si>
  <si>
    <t>https://kimotostudio21.netlify.app/0345/</t>
  </si>
  <si>
    <t>デモがおかしかったらここに△</t>
  </si>
  <si>
    <t>江東区</t>
  </si>
  <si>
    <t>店舗名ではなく番号になってるとこがある</t>
  </si>
  <si>
    <t>https://kimotostudio21.netlify.app/0346/</t>
  </si>
  <si>
    <t>https://kimotostudio21.netlify.app/0347/</t>
  </si>
  <si>
    <t>https://kimotostudio21.netlify.app/0348/</t>
  </si>
  <si>
    <t>https://kimotostudio21.netlify.app/0349/</t>
  </si>
  <si>
    <t>https://kimotostudio21.netlify.app/0350/</t>
  </si>
  <si>
    <t>https://kimotostudio21.netlify.app/0351/</t>
  </si>
  <si>
    <t>https://kimotostudio21.netlify.app/0352/</t>
  </si>
  <si>
    <t>https://kimotostudio21.netlify.app/0353/</t>
  </si>
  <si>
    <t>https://kimotostudio21.netlify.app/0354/</t>
  </si>
  <si>
    <t>https://kimotostudio21.netlify.app/0355/</t>
  </si>
  <si>
    <t>https://kimotostudio21.netlify.app/0356/</t>
  </si>
  <si>
    <t>https://kimotostudio21.netlify.app/0357/</t>
  </si>
  <si>
    <t>https://kimotostudio21.netlify.app/0358/</t>
  </si>
  <si>
    <t>https://kimotostudio21.netlify.app/0359/</t>
  </si>
  <si>
    <t>https://kimotostudio21.netlify.app/0360/</t>
  </si>
  <si>
    <t>https://kimotostudio21.netlify.app/0361/</t>
  </si>
  <si>
    <t>https://kimotostudio21.netlify.app/0362/</t>
  </si>
  <si>
    <t>https://kimotostudio21.netlify.app/0363/</t>
  </si>
  <si>
    <t>https://kimotostudio21.netlify.app/0364/</t>
  </si>
  <si>
    <t>https://kimotostudio21.netlify.app/0365/</t>
  </si>
  <si>
    <t>https://kimotostudio21.netlify.app/0366/</t>
  </si>
  <si>
    <t>https://kimotostudio21.netlify.app/0367/</t>
  </si>
  <si>
    <t>https://kimotostudio21.netlify.app/0368/</t>
  </si>
  <si>
    <t>大田区</t>
  </si>
  <si>
    <t>https://kimotostudio21.netlify.app/0369/</t>
  </si>
  <si>
    <t>https://kimotostudio21.netlify.app/0370/</t>
  </si>
  <si>
    <t>https://kimotostudio21.netlify.app/0371/</t>
  </si>
  <si>
    <t>https://kimotostudio21.netlify.app/0372/</t>
  </si>
  <si>
    <t>https://kimotostudio21.netlify.app/0373/</t>
  </si>
  <si>
    <t>https://kimotostudio21.netlify.app/0374/</t>
  </si>
  <si>
    <t>https://kimotostudio21.netlify.app/0375/</t>
  </si>
  <si>
    <t>https://kimotostudio21.netlify.app/0376/</t>
  </si>
  <si>
    <t>https://kimotostudio21.netlify.app/0377/</t>
  </si>
  <si>
    <t>https://kimotostudio21.netlify.app/0378/</t>
  </si>
  <si>
    <t>https://kimotostudio21.netlify.app/0379/</t>
  </si>
  <si>
    <t>https://kimotostudio21.netlify.app/0380/</t>
  </si>
  <si>
    <t>https://kimotostudio21.netlify.app/0381/</t>
  </si>
  <si>
    <t>https://kimotostudio21.netlify.app/0382/</t>
  </si>
  <si>
    <t>https://kimotostudio21.netlify.app/0383/</t>
  </si>
  <si>
    <t>https://kimotostudio21.netlify.app/0384/</t>
  </si>
  <si>
    <t>https://kimotostudio21.netlify.app/0385/</t>
  </si>
  <si>
    <t>https://kimotostudio21.netlify.app/0386/</t>
  </si>
  <si>
    <t>https://kimotostudio21.netlify.app/0387/</t>
  </si>
  <si>
    <t>https://kimotostudio21.netlify.app/0388/</t>
  </si>
  <si>
    <t>https://kimotostudio21.netlify.app/0389/</t>
  </si>
  <si>
    <t>https://kimotostudio21.netlify.app/0390/</t>
  </si>
  <si>
    <t>https://kimotostudio21.netlify.app/0391/</t>
  </si>
  <si>
    <t>https://kimotostudio21.netlify.app/0392/</t>
  </si>
  <si>
    <t>https://kimotostudio21.netlify.app/0393/</t>
  </si>
  <si>
    <t>https://kimotostudio21.netlify.app/0394/</t>
  </si>
  <si>
    <t>https://kimotostudio21.netlify.app/0395/</t>
  </si>
  <si>
    <t>https://kimotostudio21.netlify.app/0396/</t>
  </si>
  <si>
    <t>https://kimotostudio21.netlify.app/0397/</t>
  </si>
  <si>
    <t>https://kimotostudio21.netlify.app/0398/</t>
  </si>
  <si>
    <t>https://kimotostudio21.netlify.app/0399/</t>
  </si>
  <si>
    <t>府中市</t>
  </si>
  <si>
    <t>https://kimotostudio21.netlify.app/0451/</t>
  </si>
  <si>
    <t>https://kimotostudio21.netlify.app/0452/</t>
  </si>
  <si>
    <t>https://kimotostudio21.netlify.app/0453/</t>
  </si>
  <si>
    <t>https://kimotostudio21.netlify.app/0454/</t>
  </si>
  <si>
    <t>https://kimotostudio21.netlify.app/0455/</t>
  </si>
  <si>
    <t>https://kimotostudio21.netlify.app/0456/</t>
  </si>
  <si>
    <t>https://kimotostudio21.netlify.app/0457/</t>
  </si>
  <si>
    <t>https://kimotostudio21.netlify.app/0458/</t>
  </si>
  <si>
    <t>https://kimotostudio21.netlify.app/0459/</t>
  </si>
  <si>
    <t>https://kimotostudio21.netlify.app/0460/</t>
  </si>
  <si>
    <t>https://kimotostudio21.netlify.app/0461/</t>
  </si>
  <si>
    <t>https://kimotostudio21.netlify.app/0462/</t>
  </si>
  <si>
    <t>https://kimotostudio21.netlify.app/0463/</t>
  </si>
  <si>
    <t>https://kimotostudio21.netlify.app/0464/</t>
  </si>
  <si>
    <t>https://kimotostudio21.netlify.app/0465/</t>
  </si>
  <si>
    <t>https://kimotostudio21.netlify.app/0466/</t>
  </si>
  <si>
    <t>https://kimotostudio21.netlify.app/0467/</t>
  </si>
  <si>
    <t>https://kimotostudio21.netlify.app/0468/</t>
  </si>
  <si>
    <t>https://kimotostudio21.netlify.app/0469/</t>
  </si>
  <si>
    <t>https://kimotostudio21.netlify.app/0470/</t>
  </si>
  <si>
    <t>https://kimotostudio21.netlify.app/0471/</t>
  </si>
  <si>
    <t>https://kimotostudio21.netlify.app/0472/</t>
  </si>
  <si>
    <t>https://kimotostudio21.netlify.app/0473/</t>
  </si>
  <si>
    <t>https://kimotostudio21.netlify.app/0474/</t>
  </si>
  <si>
    <t>https://kimotostudio21.netlify.app/0475/</t>
  </si>
  <si>
    <t>https://kimotostudio21.netlify.app/0476/</t>
  </si>
  <si>
    <t>https://kimotostudio21.netlify.app/0477/</t>
  </si>
  <si>
    <t>https://kimotostudio21.netlify.app/0478/</t>
  </si>
  <si>
    <t>https://kimotostudio21.netlify.app/0479/</t>
  </si>
  <si>
    <t>https://kimotostudio21.netlify.app/0480/</t>
  </si>
  <si>
    <t>https://kimotostudio21.netlify.app/0481/</t>
  </si>
  <si>
    <t>https://kimotostudio21.netlify.app/0482/</t>
  </si>
  <si>
    <t>https://kimotostudio21.netlify.app/0483/</t>
  </si>
  <si>
    <t>https://kimotostudio21.netlify.app/0484/</t>
  </si>
  <si>
    <t>https://kimotostudio21.netlify.app/0485/</t>
  </si>
  <si>
    <t>https://kimotostudio21.netlify.app/0486/</t>
  </si>
  <si>
    <t>https://kimotostudio21.netlify.app/0487/</t>
  </si>
  <si>
    <t>https://kimotostudio21.netlify.app/0488/</t>
  </si>
  <si>
    <t>https://kimotostudio21.netlify.app/0489/</t>
  </si>
  <si>
    <t>https://kimotostudio21.netlify.app/0490/</t>
  </si>
  <si>
    <t>https://kimotostudio21.netlify.app/0491/</t>
  </si>
  <si>
    <t>https://kimotostudio21.netlify.app/0492/</t>
  </si>
  <si>
    <t>八王子</t>
  </si>
  <si>
    <t>https://kimotostudio21.netlify.app/0493/</t>
  </si>
  <si>
    <t>https://kimotostudio21.netlify.app/0494/</t>
  </si>
  <si>
    <t>https://kimotostudio21.netlify.app/0495/</t>
  </si>
  <si>
    <t>https://kimotostudio21.netlify.app/0496/</t>
  </si>
  <si>
    <t>https://kimotostudio21.netlify.app/0497/</t>
  </si>
  <si>
    <t>https://kimotostudio21.netlify.app/0498/</t>
  </si>
  <si>
    <t>https://kimotostudio21.netlify.app/0499/</t>
  </si>
  <si>
    <t>https://kimotostudio21.netlify.app/0500/</t>
  </si>
  <si>
    <t>https://kimotostudio21.netlify.app/0501/</t>
  </si>
  <si>
    <t>https://kimotostudio21.netlify.app/0502/</t>
  </si>
  <si>
    <t>https://kimotostudio21.netlify.app/0503/</t>
  </si>
  <si>
    <t>https://kimotostudio21.netlify.app/0504/</t>
  </si>
  <si>
    <t>https://kimotostudio21.netlify.app/0505/</t>
  </si>
  <si>
    <t>https://kimotostudio21.netlify.app/0506/</t>
  </si>
  <si>
    <t>https://kimotostudio21.netlify.app/0507/</t>
  </si>
  <si>
    <t>https://kimotostudio21.netlify.app/0508/</t>
  </si>
  <si>
    <t>https://kimotostudio21.netlify.app/0509/</t>
  </si>
  <si>
    <t>https://kimotostudio21.netlify.app/0510/</t>
  </si>
  <si>
    <t>https://kimotostudio21.netlify.app/0511/</t>
  </si>
  <si>
    <t>https://kimotostudio21.netlify.app/0512/</t>
  </si>
  <si>
    <t>https://kimotostudio21.netlify.app/0513/</t>
  </si>
  <si>
    <t>https://kimotostudio21.netlify.app/0514/</t>
  </si>
  <si>
    <t>https://kimotostudio21.netlify.app/0515/</t>
  </si>
  <si>
    <t>https://kimotostudio21.netlify.app/0516/</t>
  </si>
  <si>
    <t>https://kimotostudio21.netlify.app/0517/</t>
  </si>
  <si>
    <t>https://kimotostudio21.netlify.app/0518/</t>
  </si>
  <si>
    <t>調布市</t>
  </si>
  <si>
    <t>https://kimotostudio21.netlify.app/0519/</t>
  </si>
  <si>
    <t>https://kimotostudio21.netlify.app/0520/</t>
  </si>
  <si>
    <t>https://kimotostudio21.netlify.app/0521/</t>
  </si>
  <si>
    <t>https://kimotostudio21.netlify.app/0522/</t>
  </si>
  <si>
    <t>https://kimotostudio21.netlify.app/0523/</t>
  </si>
  <si>
    <t>https://kimotostudio21.netlify.app/0524/</t>
  </si>
  <si>
    <t>https://kimotostudio21.netlify.app/0525/</t>
  </si>
  <si>
    <t>https://kimotostudio21.netlify.app/0526/</t>
  </si>
  <si>
    <t>https://kimotostudio21.netlify.app/0527/</t>
  </si>
  <si>
    <t>https://kimotostudio21.netlify.app/0528/</t>
  </si>
  <si>
    <t>https://kimotostudio21.netlify.app/0529/</t>
  </si>
  <si>
    <t>https://kimotostudio21.netlify.app/0530/</t>
  </si>
  <si>
    <t>https://kimotostudio21.netlify.app/0531/</t>
  </si>
  <si>
    <t>https://kimotostudio21.netlify.app/0532/</t>
  </si>
  <si>
    <t>https://kimotostudio21.netlify.app/0533/</t>
  </si>
  <si>
    <t>https://kimotostudio21.netlify.app/0534/</t>
  </si>
  <si>
    <t>https://kimotostudio21.netlify.app/0535/</t>
  </si>
  <si>
    <t>https://kimotostudio21.netlify.app/0536/</t>
  </si>
  <si>
    <t>https://kimotostudio21.netlify.app/0537/</t>
  </si>
  <si>
    <t>https://kimotostudio21.netlify.app/0538/</t>
  </si>
  <si>
    <t>https://kimotostudio21.netlify.app/0539/</t>
  </si>
  <si>
    <t>https://kimotostudio21.netlify.app/0540/</t>
  </si>
  <si>
    <t>https://kimotostudio21.netlify.app/0541/</t>
  </si>
  <si>
    <t>https://kimotostudio21.netlify.app/0542/</t>
  </si>
  <si>
    <t>追加</t>
  </si>
  <si>
    <t>紫晃舘</t>
  </si>
  <si>
    <t>http://shikoukan.blog.fc2.com/</t>
  </si>
  <si>
    <t>×</t>
  </si>
  <si>
    <t>ブログ形式で古く未整備</t>
  </si>
  <si>
    <t>開運館E&amp;E 京王八王子SC店</t>
  </si>
  <si>
    <t>https://www.kaiunkan-ee.com/</t>
  </si>
  <si>
    <t>○</t>
  </si>
  <si>
    <t>大手系列で構成が整っている</t>
  </si>
  <si>
    <t>月の命</t>
  </si>
  <si>
    <t>https://11strongmoon.com/</t>
  </si>
  <si>
    <t>現代的デザインで安心感あり</t>
  </si>
  <si>
    <t>ルルドの部屋 セレオ八王子店</t>
  </si>
  <si>
    <t>https://rurudonoheya.com/</t>
  </si>
  <si>
    <t>清潔感ある構成</t>
  </si>
  <si>
    <t>開運生活・コア</t>
  </si>
  <si>
    <t>https://fortune-telling.wixsite.com/core</t>
  </si>
  <si>
    <t>△</t>
  </si>
  <si>
    <t>Wix無料版で独自性が弱い</t>
  </si>
  <si>
    <t>順南の占いコーナー</t>
  </si>
  <si>
    <t>https://297junnan.web.fc2.com/</t>
  </si>
  <si>
    <t>非常に古いデザイン</t>
  </si>
  <si>
    <t>Fortune Jyujyu</t>
  </si>
  <si>
    <t>https://r.goope.jp/fortune-jyujyu/</t>
  </si>
  <si>
    <t>Goope既成枠で情報が薄い</t>
  </si>
  <si>
    <t>Salon 恵</t>
  </si>
  <si>
    <t>http://www.salon-megumi.com/</t>
  </si>
  <si>
    <t>更新感が弱い</t>
  </si>
  <si>
    <t>占い処 カフェバニラ</t>
  </si>
  <si>
    <t>http://www.cafevani.com/</t>
  </si>
  <si>
    <t>スマホ未対応風</t>
  </si>
  <si>
    <t>Hopi∞healing Salon</t>
  </si>
  <si>
    <t>https://hopihealingsalon.studio.site/</t>
  </si>
  <si>
    <t>今風で綺麗なサイト</t>
  </si>
  <si>
    <t>Salon halhal</t>
  </si>
  <si>
    <t>https://halhal3588.com/</t>
  </si>
  <si>
    <t>温かみのある構成</t>
  </si>
  <si>
    <t>5SQUARE</t>
  </si>
  <si>
    <t>https://p0dhy.hp.peraichi.com/</t>
  </si>
  <si>
    <t>ペライチ1枚構成</t>
  </si>
  <si>
    <t>Seed of Life</t>
  </si>
  <si>
    <t>https://seedoflife-rapture.com/</t>
  </si>
  <si>
    <t>構成が古い</t>
  </si>
  <si>
    <t>こころカフェゆるの木</t>
  </si>
  <si>
    <t>http://yulnoki.sakura.ne.jp/yulnoki/</t>
  </si>
  <si>
    <t>未整備な印象</t>
  </si>
  <si>
    <t>セラピールーム オーブ</t>
  </si>
  <si>
    <t>https://www.therapyroomaube.jp/</t>
  </si>
  <si>
    <t>メニュー整理され見やすい</t>
  </si>
  <si>
    <t>虹の天使</t>
  </si>
  <si>
    <t>https://www.nijinotenshi.net/</t>
  </si>
  <si>
    <t>物販中心で弱い</t>
  </si>
  <si>
    <t>八王子霊感占い ネーネーの部屋</t>
  </si>
  <si>
    <t>https://nene-no-heya.com/</t>
  </si>
  <si>
    <t>独自性が乏しい</t>
  </si>
  <si>
    <t>占いサロン 羅扉巣</t>
  </si>
  <si>
    <t>https://hachiouji-uranai.com/</t>
  </si>
  <si>
    <t>ポータル風で個性が弱い</t>
  </si>
  <si>
    <t>ヒーリングサロン 虹の光</t>
  </si>
  <si>
    <t>https://nizinohikari.com/</t>
  </si>
  <si>
    <t>整ったデザイン</t>
  </si>
  <si>
    <t>アロマタイム</t>
  </si>
  <si>
    <t>https://www.aromatime.jp/</t>
  </si>
  <si>
    <t>スクール併設で信頼感</t>
  </si>
  <si>
    <t>占い館 華</t>
  </si>
  <si>
    <t>https://uranai-hana.com/</t>
  </si>
  <si>
    <t>更新停止</t>
  </si>
  <si>
    <t>スピリチュアルサロン 慈愛</t>
  </si>
  <si>
    <t>https://spiritual-jiai.com/</t>
  </si>
  <si>
    <t>優しい構成</t>
  </si>
  <si>
    <t>レイキヒーリング 八王子</t>
  </si>
  <si>
    <t>https://reiki-hachioji.com/</t>
  </si>
  <si>
    <t>視認性が低い</t>
  </si>
  <si>
    <t>タロット占い 結</t>
  </si>
  <si>
    <t>https://tarot-yui.com/</t>
  </si>
  <si>
    <t>無料テーマ使用</t>
  </si>
  <si>
    <t>ヒーリングスペース 奏</t>
  </si>
  <si>
    <t>https://healing-kanade.com/</t>
  </si>
  <si>
    <t>写真が豊富</t>
  </si>
  <si>
    <t>占い処 龍の目</t>
  </si>
  <si>
    <t>https://ryunome.com/</t>
  </si>
  <si>
    <t>構成が単調</t>
  </si>
  <si>
    <t>スピリチュアルカウンセリング 凛</t>
  </si>
  <si>
    <t>https://rin-spiritual.com/</t>
  </si>
  <si>
    <t>洗練されたデザイン</t>
  </si>
  <si>
    <t>八王子手相鑑定所</t>
  </si>
  <si>
    <t>https://hachioji-teso.com/</t>
  </si>
  <si>
    <t>信頼性に欠ける</t>
  </si>
  <si>
    <t>ヒーリングサロン 宙</t>
  </si>
  <si>
    <t>https://healing-sora.com/</t>
  </si>
  <si>
    <t>情報整理が必要</t>
  </si>
  <si>
    <t>占い＆セラピー 蓮</t>
  </si>
  <si>
    <t>https://uranai-ren.com/</t>
  </si>
  <si>
    <t>構成がしっかり</t>
  </si>
  <si>
    <t>天空の門 宝玉</t>
  </si>
  <si>
    <t>http://www.tenkunomon-hogyoku.com/</t>
  </si>
  <si>
    <t>デザインが非常に古く未整備</t>
  </si>
  <si>
    <t>万 慈音堂</t>
  </si>
  <si>
    <t>https://yorozu-jiondo.jp/</t>
  </si>
  <si>
    <t>構成が整っており信頼感がある</t>
  </si>
  <si>
    <t>ヒーリングサロン イモータリティ</t>
  </si>
  <si>
    <t>https://nijitensi-kanariharu.com/</t>
  </si>
  <si>
    <t>情報はあるが独自性が弱い</t>
  </si>
  <si>
    <t>言の葉の館 八王子相模原店</t>
  </si>
  <si>
    <t>https://shizuoka-uranai.com/</t>
  </si>
  <si>
    <t>系列共通だが構成はしっかりしている</t>
  </si>
  <si>
    <t>ヒーリングサロン レプス</t>
  </si>
  <si>
    <t>https://hs-lepus.com/</t>
  </si>
  <si>
    <t>専門性が高くデザインも現代的</t>
  </si>
  <si>
    <t>立川占い ネーネーの部屋</t>
  </si>
  <si>
    <t>https://nenjyu.jp/</t>
  </si>
  <si>
    <t>シンプルだがやや古さを感じる</t>
  </si>
  <si>
    <t>昌本順南の占い教室</t>
  </si>
  <si>
    <t>https://297junnan.web.fc2.com/school/school.html</t>
  </si>
  <si>
    <t>FC2のままでデザインが古い</t>
  </si>
  <si>
    <t>スピリチュアルカウンセリング 八王子</t>
  </si>
  <si>
    <t>https://smc7.net/counseling/</t>
  </si>
  <si>
    <t>テキスト主体で視覚的訴求が弱い</t>
  </si>
  <si>
    <t>アーユルヴェーダ くすままーらー</t>
  </si>
  <si>
    <t>https://kusumamala.com/</t>
  </si>
  <si>
    <t>サロンの雰囲気が良く伝わる構成</t>
  </si>
  <si>
    <t>アポロガーデン ポーチャイ</t>
  </si>
  <si>
    <t>https://apollo-garden.com/</t>
  </si>
  <si>
    <t>情報が分散しており整理が必要</t>
  </si>
  <si>
    <t>清潔感のあるデザインで好印象</t>
  </si>
  <si>
    <t>アロマタイム 八王子</t>
  </si>
  <si>
    <t>スクール併設で情報が充実している</t>
  </si>
  <si>
    <t>占いサロン 恵</t>
  </si>
  <si>
    <t>構成は標準的だが更新感が薄い</t>
  </si>
  <si>
    <t>スマホ対応が不十分な印象</t>
  </si>
  <si>
    <t>Wix無料版で広告が目立つ</t>
  </si>
  <si>
    <t>独自ドメインで構成も整っている</t>
  </si>
  <si>
    <t>ルルドの部屋 セレオ八王子</t>
  </si>
  <si>
    <t>企業運営らしく安定した品質</t>
  </si>
  <si>
    <t>ブログ形式で未整備</t>
  </si>
  <si>
    <t>ヒーリングスペース Seed of Life</t>
  </si>
  <si>
    <t>情報量は多いが視認性が低い</t>
  </si>
  <si>
    <t>手作り感が強く未整備</t>
  </si>
  <si>
    <t>メニューが整理され見やすい</t>
  </si>
  <si>
    <t>物販メインでサロン情報が弱い</t>
  </si>
  <si>
    <t>https://hachioji.mypl.net/shop/00000375300/</t>
  </si>
  <si>
    <t>ポータル内のみで独自サイトなし</t>
  </si>
  <si>
    <t>構成が単調で改善の余地あり</t>
  </si>
  <si>
    <t>しっかりした構成で安心感がある</t>
  </si>
  <si>
    <t>優しく洗練されたデザイン</t>
  </si>
  <si>
    <t>テキストのみでデザイン性なし</t>
  </si>
  <si>
    <t>無料テーマのままで独自性が低い</t>
  </si>
  <si>
    <t>写真が豊富で雰囲気が良い</t>
  </si>
  <si>
    <t>フォア・ネイル</t>
  </si>
  <si>
    <t>https://fore-nail.com/</t>
  </si>
  <si>
    <t>占いの館カネリオン</t>
  </si>
  <si>
    <t>https://www.kanerion.com/</t>
  </si>
  <si>
    <t>老舗らしく情報が充実している</t>
  </si>
  <si>
    <t>占いサロンBenir</t>
  </si>
  <si>
    <t>https://benir-uranai.com/</t>
  </si>
  <si>
    <t>洗練されたデザインで好印象</t>
  </si>
  <si>
    <t>紫微斗数占い 縁</t>
  </si>
  <si>
    <t>https://shibitosu-uranai-enishi.jimdofree.com/</t>
  </si>
  <si>
    <t>Jimdo製でやや簡易的な構成</t>
  </si>
  <si>
    <t>バンブーボックス</t>
  </si>
  <si>
    <t>https://chofu.com/bamboo</t>
  </si>
  <si>
    <t>ポータル内ページで独自性が弱い</t>
  </si>
  <si>
    <t>タイヨー開運研究所</t>
  </si>
  <si>
    <t>https://www.taiyokaiunkenkyujo.com/</t>
  </si>
  <si>
    <t>専門性が高く見やすい構成</t>
  </si>
  <si>
    <t>癒しのサロン Mahina O Hoku</t>
  </si>
  <si>
    <t>https://mahinaohoku.wixsite.com/lomilomi</t>
  </si>
  <si>
    <t>UZUMAKIナチュラルケアサロン</t>
  </si>
  <si>
    <t>https://www.uzumaki-aroma.com/</t>
  </si>
  <si>
    <t>清潔感がありメニューも明確</t>
  </si>
  <si>
    <t>B-SNOW</t>
  </si>
  <si>
    <t>https://b-snow.com/</t>
  </si>
  <si>
    <t>スマホ対応もされており好印象</t>
  </si>
  <si>
    <t>ライトワーカーれい華</t>
  </si>
  <si>
    <t>https://reika-school.com/</t>
  </si>
  <si>
    <t>スクール併設で情報が豊富</t>
  </si>
  <si>
    <t>0学運命分析鑑定室 高柳令瓏</t>
  </si>
  <si>
    <t>https://reiro.crayonsite.info/</t>
  </si>
  <si>
    <t>無料作成ツールで構成が簡易</t>
  </si>
  <si>
    <t>占い専科 サンモーリス</t>
  </si>
  <si>
    <t>https://chofu.com/st_maurice</t>
  </si>
  <si>
    <t>ポータルのみで独自サイトなし</t>
  </si>
  <si>
    <t>天使のサロンdefi</t>
  </si>
  <si>
    <t>https://defi-salon.com/</t>
  </si>
  <si>
    <t>デザインが現代的で集客力あり</t>
  </si>
  <si>
    <t>フォーチュン・カウンセラー 岡美秀</t>
  </si>
  <si>
    <t>https://www.fore-nail.com/</t>
  </si>
  <si>
    <t>フォア・ネイルの別ドメイン</t>
  </si>
  <si>
    <t>スピリチュアルスクール 鳳凰の翼</t>
  </si>
  <si>
    <t>https://houounotsubasa.com/</t>
  </si>
  <si>
    <t>洗練されたデザインで信頼感あり</t>
  </si>
  <si>
    <t>ヒーリングサロン 桜・Sakura</t>
  </si>
  <si>
    <t>https://reishi-sakura.com/</t>
  </si>
  <si>
    <t>情報はあるがデザインが古い</t>
  </si>
  <si>
    <t>調布の母 占い鑑定所</t>
  </si>
  <si>
    <t>https://chofu-haha.com/</t>
  </si>
  <si>
    <t>テキスト主体で未整備な印象</t>
  </si>
  <si>
    <t>レイキヒーリング 調布</t>
  </si>
  <si>
    <t>https://reiki-chofu.com/</t>
  </si>
  <si>
    <t>タロット占い 奏</t>
  </si>
  <si>
    <t>https://tarot-kanade.com/</t>
  </si>
  <si>
    <t>開運アドバイザー 結</t>
  </si>
  <si>
    <t>https://yui-kaiun.com/</t>
  </si>
  <si>
    <t>無料テーマのままで個性が弱い</t>
  </si>
  <si>
    <t>ヒーリングスペース 宙</t>
  </si>
  <si>
    <t>https://healing-sora-chofu.com/</t>
  </si>
  <si>
    <t>占い処 龍の目 調布</t>
  </si>
  <si>
    <t>https://ryunome-chofu.com/</t>
  </si>
  <si>
    <t>情報が散漫で整理が必要</t>
  </si>
  <si>
    <t>https://rin-chofu.com/</t>
  </si>
  <si>
    <t>調布手相鑑定所</t>
  </si>
  <si>
    <t>https://chofu-teso.com/</t>
  </si>
  <si>
    <t>デザインが古く信頼性に欠ける</t>
  </si>
  <si>
    <t>構成が単調で営業の余地あり</t>
  </si>
  <si>
    <t>いや空ち</t>
  </si>
  <si>
    <t>https://iyakochi.com/</t>
  </si>
  <si>
    <t>コスモブライト</t>
  </si>
  <si>
    <t>https://www.cosmobright.com/</t>
  </si>
  <si>
    <t>スクール併設で情報が非常に豊富</t>
  </si>
  <si>
    <t>ユニバースエンジェル</t>
  </si>
  <si>
    <t>https://universe-angel.com/</t>
  </si>
  <si>
    <t>電話占い光華</t>
  </si>
  <si>
    <t>https://ko-ge.jp/</t>
  </si>
  <si>
    <t>大手サイトらしく構成がしっかりしている</t>
  </si>
  <si>
    <t>チャクラアートヒーリング</t>
  </si>
  <si>
    <t>https://chakra-art.com/</t>
  </si>
  <si>
    <t>情報はあるがデザインがやや古い</t>
  </si>
  <si>
    <t>算命学体験会</t>
  </si>
  <si>
    <t>https://sanmeigaku-chofu.com/</t>
  </si>
  <si>
    <t>シンプルだが独自性に欠ける</t>
  </si>
  <si>
    <t>リラの花咲く</t>
  </si>
  <si>
    <t>https://lila-healing.com/</t>
  </si>
  <si>
    <t>雰囲気が良く伝わる綺麗なサイト</t>
  </si>
  <si>
    <t>SHINKIKO</t>
  </si>
  <si>
    <t>https://shinkiko.com/</t>
  </si>
  <si>
    <t>DRT調布</t>
  </si>
  <si>
    <t>https://drt-chofu.com/</t>
  </si>
  <si>
    <t>小林マネジメントサービス</t>
  </si>
  <si>
    <t>https://kobayashi-ms.com/</t>
  </si>
  <si>
    <t>ビジネス寄りだがヒーリング情報あり</t>
  </si>
  <si>
    <t>タロットステーション</t>
  </si>
  <si>
    <t>https://tarot-station.jp/</t>
  </si>
  <si>
    <t>開運セラピスト 結</t>
  </si>
  <si>
    <t>https://yui-kaiun-chofu.com/</t>
  </si>
  <si>
    <t>青渭神社 縁結び</t>
  </si>
  <si>
    <t>https://aoi-jinja.com/</t>
  </si>
  <si>
    <t>神社公式で信頼性が非常に高い</t>
  </si>
  <si>
    <t>アクアヒーリング</t>
  </si>
  <si>
    <t>https://aqua-healing.jp/</t>
  </si>
  <si>
    <t>ヒーリングサロン・クロニクル</t>
  </si>
  <si>
    <t>https://chronicle-healing.com/</t>
  </si>
  <si>
    <t>洗練されたデザインで集客力あり</t>
  </si>
  <si>
    <t>路地裏DE君想う草</t>
  </si>
  <si>
    <t>https://rojiura-uranai.com/</t>
  </si>
  <si>
    <t>真氣光 調布</t>
  </si>
  <si>
    <t>https://shinkiko-chofu.com/</t>
  </si>
  <si>
    <t>鳳凰の翼 調布</t>
  </si>
  <si>
    <t>https://houounotsubasa-chofu.com/</t>
  </si>
  <si>
    <t>デザインが現代的で好印象</t>
  </si>
  <si>
    <t>府中ワルツヒーリングスクール</t>
  </si>
  <si>
    <t>https://fuchuwaltz.com/</t>
  </si>
  <si>
    <t>シータヒーリング 充実</t>
  </si>
  <si>
    <t>ヒーリングサロンひかりのたね</t>
  </si>
  <si>
    <t>https://hikarino-tane.com/</t>
  </si>
  <si>
    <t>レイキ 充実</t>
  </si>
  <si>
    <t>ヒーリングサロンお菓子のお家</t>
  </si>
  <si>
    <t>https://okashinoie.net/</t>
  </si>
  <si>
    <t>アロマサロンふわり</t>
  </si>
  <si>
    <t>https://www.aroma-fuwari.co/</t>
  </si>
  <si>
    <t>アロマ Wix</t>
  </si>
  <si>
    <t>esty</t>
  </si>
  <si>
    <t>https://esty.skin/</t>
  </si>
  <si>
    <t>エステ 充実</t>
  </si>
  <si>
    <t>キラーナ</t>
  </si>
  <si>
    <t>https://salon-kirana.com/</t>
  </si>
  <si>
    <t>マッサージ 充実</t>
  </si>
  <si>
    <t>やすらぎ健康庵</t>
  </si>
  <si>
    <t>https://www.yasuragi-an.com/</t>
  </si>
  <si>
    <t>波動セラピー 充実</t>
  </si>
  <si>
    <t>粋香</t>
  </si>
  <si>
    <t>https://www.therapy-suika.jp/</t>
  </si>
  <si>
    <t>アロマ 充実</t>
  </si>
  <si>
    <t>セラピールームルルド</t>
  </si>
  <si>
    <t>https://rurudo1618.jimdofree.com/</t>
  </si>
  <si>
    <t>セラピー Jimdo</t>
  </si>
  <si>
    <t>ヒーリングサロン kisara</t>
  </si>
  <si>
    <t>http://kisarahealing.com/</t>
  </si>
  <si>
    <t>ヒーリング 古い</t>
  </si>
  <si>
    <t>Healing Honon</t>
  </si>
  <si>
    <t>http://healing-hanon.com/</t>
  </si>
  <si>
    <t>ヒーリング シンプル</t>
  </si>
  <si>
    <t>UZUMAKI</t>
  </si>
  <si>
    <t>アロマ 整っている</t>
  </si>
  <si>
    <t>森の癒し処まにまに</t>
  </si>
  <si>
    <t>http://manimani-fuchu.com/</t>
  </si>
  <si>
    <t>癒し 古い</t>
  </si>
  <si>
    <t>claire</t>
  </si>
  <si>
    <t>https://claire2021.amebaownd.com/</t>
  </si>
  <si>
    <t>ヒーリング Ownd</t>
  </si>
  <si>
    <t>天空堂</t>
  </si>
  <si>
    <t>https://www.tenkudo108.com/</t>
  </si>
  <si>
    <t>気功 占い 充実</t>
  </si>
  <si>
    <t>音のしずく</t>
  </si>
  <si>
    <t>https://asaminoriko.com/</t>
  </si>
  <si>
    <t>ヒーリング 充実</t>
  </si>
  <si>
    <t>府中そるぶ治療院</t>
  </si>
  <si>
    <t>http://www.uzurasolve.jp/</t>
  </si>
  <si>
    <t>治療 気功 古い</t>
  </si>
  <si>
    <t>fruticari</t>
  </si>
  <si>
    <t>https://fruticari1111.com/</t>
  </si>
  <si>
    <t>ヒーリング 整っている</t>
  </si>
  <si>
    <t>あろまママのほぐしやさんの</t>
  </si>
  <si>
    <t>https://mama-aroma.com/</t>
  </si>
  <si>
    <t>Full Bloom</t>
  </si>
  <si>
    <t>https://fullbloomkumi.wixsite.com/home</t>
  </si>
  <si>
    <t>Re:La calme</t>
  </si>
  <si>
    <t>https://rela.calme.style/</t>
  </si>
  <si>
    <t>サウナ 癒し 充実</t>
  </si>
  <si>
    <t>アーユルヴェーダサロンDARA</t>
  </si>
  <si>
    <t>https://ayurveda-dara.com/</t>
  </si>
  <si>
    <t>アーユルヴェーダ 充実</t>
  </si>
  <si>
    <t>ヒーリングサロン セラピーClew</t>
  </si>
  <si>
    <t>https://reserva.be/therapyclew1111</t>
  </si>
  <si>
    <t>予約サイトのみ</t>
  </si>
  <si>
    <t>ROU</t>
  </si>
  <si>
    <t>https://rou2024.amebaownd.com/</t>
  </si>
  <si>
    <t>府中整体エステサロンふわっとすらっと</t>
  </si>
  <si>
    <t>https://www.fuwatslat.com/</t>
  </si>
  <si>
    <t>サロンドエミ</t>
  </si>
  <si>
    <t>https://salonde-emi.com/</t>
  </si>
  <si>
    <t>エステ 整っている</t>
  </si>
  <si>
    <t>IT'S MY TIME Fuchu</t>
  </si>
  <si>
    <t>https://itsmytime.jp/</t>
  </si>
  <si>
    <t>ヨガ 癒し 充実</t>
  </si>
  <si>
    <t>private salon Ladouce</t>
  </si>
  <si>
    <t>https://ladouce20180925.amebaownd.com/</t>
  </si>
  <si>
    <t>エステ Ownd</t>
  </si>
  <si>
    <t>占いミザリー</t>
  </si>
  <si>
    <t>https://mizary.com/fuchu/</t>
  </si>
  <si>
    <t>占い 充実</t>
  </si>
  <si>
    <t>erb(aaaroma)</t>
  </si>
  <si>
    <t>https://aaaroma.com/about</t>
  </si>
  <si>
    <t>デザインが古く更新感乏しい</t>
  </si>
  <si>
    <t>Jimdo無料版で構成が簡易</t>
  </si>
  <si>
    <t>非常にシンプルで情報量不足</t>
  </si>
  <si>
    <t>旧世代デザインで未整備</t>
  </si>
  <si>
    <t>Ameba Ownd標準テンプレ</t>
  </si>
  <si>
    <t>なかやまうんすい事務所</t>
  </si>
  <si>
    <t>http://www.un-sui.com/</t>
  </si>
  <si>
    <t>長期間更新が見られない</t>
  </si>
  <si>
    <t>古い構成でスマホ非対応</t>
  </si>
  <si>
    <t>Wix無料ドメインで訴求力弱い</t>
  </si>
  <si>
    <t>Ownd利用でコンテンツ薄い</t>
  </si>
  <si>
    <t>Ownd利用でデザイン課題</t>
  </si>
  <si>
    <t>スピリチュアルヒーリングサロン 葵</t>
  </si>
  <si>
    <t>https://hollyhock.amebaownd.com/</t>
  </si>
  <si>
    <t>休止表示あり放置気味</t>
  </si>
  <si>
    <t>Wix利用で独自性が低い</t>
  </si>
  <si>
    <t>2B TAMAKI</t>
  </si>
  <si>
    <t>https://2btamaki.jimdofree.com/</t>
  </si>
  <si>
    <t>Jimdo利用でレイアウト不安定</t>
  </si>
  <si>
    <t>Relaxation salon phiphi</t>
  </si>
  <si>
    <t>https://phiphi-fuchu.amebaownd.com/</t>
  </si>
  <si>
    <t>情報整理不足</t>
  </si>
  <si>
    <t>美養療術セレンテ</t>
  </si>
  <si>
    <t>https://serenite.live-web.jp/</t>
  </si>
  <si>
    <t>デザインが古く訴求力弱い</t>
  </si>
  <si>
    <t>構成は整っているが改善余地あり</t>
  </si>
  <si>
    <t>WordPressで比較的綺麗</t>
  </si>
  <si>
    <t>情報量多いがデザイン標準</t>
  </si>
  <si>
    <t>アロマ系で完成度高い</t>
  </si>
  <si>
    <t>気功占いで内容充実</t>
  </si>
  <si>
    <t>デザイン性が高い</t>
  </si>
  <si>
    <t>現代的な構成</t>
  </si>
  <si>
    <t>あろまママのほぐしやさん</t>
  </si>
  <si>
    <t>内容充実</t>
  </si>
  <si>
    <t>プロ仕様の作り</t>
  </si>
  <si>
    <t>専門性高く完成度高い</t>
  </si>
  <si>
    <t>商業的に完成</t>
  </si>
  <si>
    <t>ヨガ癒し系で充実</t>
  </si>
  <si>
    <t>SEO対策済み</t>
  </si>
  <si>
    <t>安定運用</t>
  </si>
  <si>
    <t>2020年以降の更新がなくデザインが古い</t>
  </si>
  <si>
    <t>i-ze(いーぜ)</t>
  </si>
  <si>
    <t>https://peraichi.com/landing_pages/view/izeyamane/</t>
  </si>
  <si>
    <t>ペライチ無料版で構成が非常に簡易</t>
  </si>
  <si>
    <t>ノルニルの部屋</t>
  </si>
  <si>
    <t>https://nornir-room.com/</t>
  </si>
  <si>
    <t>デザインが旧世代的</t>
  </si>
  <si>
    <t>ヒーリングサロン 葵</t>
  </si>
  <si>
    <t>Ownd利用で更新が古く放置気味</t>
  </si>
  <si>
    <t>Jimdo利用でレイアウト未整備</t>
  </si>
  <si>
    <t>情報整理不足で弱い</t>
  </si>
  <si>
    <t>デザインが古くスマホ対応不十分</t>
  </si>
  <si>
    <t>Owndテンプレのままで訴求力不足</t>
  </si>
  <si>
    <t>Ownd利用でコンテンツが極めて薄い</t>
  </si>
  <si>
    <t>Wix無料版で独自ドメインでない</t>
  </si>
  <si>
    <t>古い構成で視認性が低い</t>
  </si>
  <si>
    <t>旧世代デザインで更新停止</t>
  </si>
  <si>
    <t>非常にシンプルで情報不足</t>
  </si>
  <si>
    <t>デザインが古く集客に不向き</t>
  </si>
  <si>
    <t>占いミザリー 府中店</t>
  </si>
  <si>
    <t>SEO対策済みで構成がしっかり</t>
  </si>
  <si>
    <t>府中ワルツ</t>
  </si>
  <si>
    <t>構成は整っているが刷新余地あり</t>
  </si>
  <si>
    <t>WordPress運用で比較的綺麗</t>
  </si>
  <si>
    <t>内容が充実</t>
  </si>
  <si>
    <t>専門性が高く完成度高い</t>
  </si>
  <si>
    <t>占い専科 青い月 北千住店</t>
  </si>
  <si>
    <t>https://aoitsuki.jp/</t>
  </si>
  <si>
    <t>北千住駅近くで構成が整っている</t>
  </si>
  <si>
    <t>北千住 占い 玲千</t>
  </si>
  <si>
    <t>https://reichi-uranai.com/</t>
  </si>
  <si>
    <t>独自ドメインで活動状況が明確</t>
  </si>
  <si>
    <t>ヒーリングサロン ピアニシモ</t>
  </si>
  <si>
    <t>https://www.pianissimo-healing.com/</t>
  </si>
  <si>
    <t>シンプルで清潔感がある</t>
  </si>
  <si>
    <t>ヒーリングサロン 慈美</t>
  </si>
  <si>
    <t>https://itsumi-healing.com/</t>
  </si>
  <si>
    <t>独自ドメインで構成も良好</t>
  </si>
  <si>
    <t>占いサロン petit ange</t>
  </si>
  <si>
    <t>https://uranai-petitange.com/</t>
  </si>
  <si>
    <t>個人サロンで整っている</t>
  </si>
  <si>
    <t>かぎねこ亭</t>
  </si>
  <si>
    <t>https://kaginekotei.com/</t>
  </si>
  <si>
    <t>デザインも良好</t>
  </si>
  <si>
    <t>占い蓮 鑑定サロン</t>
  </si>
  <si>
    <t>独自ドメイン運用</t>
  </si>
  <si>
    <t>天龍館</t>
  </si>
  <si>
    <t>https://tenryukan.com/</t>
  </si>
  <si>
    <t>伝統的な占いでサイトは少し古め</t>
  </si>
  <si>
    <t>Hasta Manana</t>
  </si>
  <si>
    <t>https://www.hastamanana.jp/</t>
  </si>
  <si>
    <t>老舗で構成がしっかりしている</t>
  </si>
  <si>
    <t>ヒーリングサロン 杜の宮</t>
  </si>
  <si>
    <t>https://morinomiya.net/</t>
  </si>
  <si>
    <t>プライベートサロン プレジール</t>
  </si>
  <si>
    <t>https://www.plaisir-japan.com/</t>
  </si>
  <si>
    <t>サイトは整っている</t>
  </si>
  <si>
    <t>ヒーリングサロン 癒しの森</t>
  </si>
  <si>
    <t>https://iyashinomori-ogikubo.com/</t>
  </si>
  <si>
    <t>サイトは簡易的</t>
  </si>
  <si>
    <t>占いサロン 羅心盤</t>
  </si>
  <si>
    <t>https://rashinban.co.jp/</t>
  </si>
  <si>
    <t>構成が綺麗で営業対象として良好</t>
  </si>
  <si>
    <t>ヒーリングサロン ティアレ</t>
  </si>
  <si>
    <t>https://tiare-healing.com/</t>
  </si>
  <si>
    <t>独自ドメインで清潔感がある</t>
  </si>
  <si>
    <t>ルビアンシュシュ</t>
  </si>
  <si>
    <t>https://le-bien-chouchou.com/</t>
  </si>
  <si>
    <t>成増の個人サロンで整っている</t>
  </si>
  <si>
    <t>アイギス</t>
  </si>
  <si>
    <t>https://aegis-orgone.com/</t>
  </si>
  <si>
    <t>オルゴン療法で独自ドメイン運用</t>
  </si>
  <si>
    <t>ガーディアンハート</t>
  </si>
  <si>
    <t>https://guardianheart.jp/</t>
  </si>
  <si>
    <t>エサレンマッサージ等で整っている</t>
  </si>
  <si>
    <t>Cure Grue</t>
  </si>
  <si>
    <t>https://curegrue.com/</t>
  </si>
  <si>
    <t>エステ・ヒーリングで構成がしっかりしている</t>
  </si>
  <si>
    <t>Sukha Salon</t>
  </si>
  <si>
    <t>https://sukhasalon.com/</t>
  </si>
  <si>
    <t>ヨガとヘッドスパで構成が整っている</t>
  </si>
  <si>
    <t>feelOASIS</t>
  </si>
  <si>
    <t>https://feeloasis2.sakura.ne.jp/</t>
  </si>
  <si>
    <t>アロマサロンでサイトは少し古め</t>
  </si>
  <si>
    <t>占い・スピリチュアル Lesson</t>
  </si>
  <si>
    <t>https://www.lesson-shop.net/</t>
  </si>
  <si>
    <t>講座中心だがデザインは良好</t>
  </si>
  <si>
    <t>ヒーリングサロン さくらハート</t>
  </si>
  <si>
    <t>https://sakuraheart.jp/</t>
  </si>
  <si>
    <t>メディア掲載もあり構成が整っている</t>
  </si>
  <si>
    <t>サロン・ルミニカ</t>
  </si>
  <si>
    <t>https://salon-luminica.com/</t>
  </si>
  <si>
    <t>レイキや心理療法で構成が整っている</t>
  </si>
  <si>
    <t>占い×レイキ BiBi</t>
  </si>
  <si>
    <t>https://bibifortunetelling.stores.jp/</t>
  </si>
  <si>
    <t>STORES利用でECサイト風</t>
  </si>
  <si>
    <t>Sehinoa</t>
  </si>
  <si>
    <t>https://select-type.com/s/sehinoa</t>
  </si>
  <si>
    <t>予約システム標準で独自性が薄い</t>
  </si>
  <si>
    <t>板橋の母 島田佳歩</t>
  </si>
  <si>
    <t>https://shimadakaho.com/</t>
  </si>
  <si>
    <t>独自ドメインで構成がしっかりしている</t>
  </si>
  <si>
    <t>おつね占い教室</t>
  </si>
  <si>
    <t>https://otsunestone.com/</t>
  </si>
  <si>
    <t>独自ドメインで構成が整っている</t>
  </si>
  <si>
    <t>スピリチュアルセラピーサロン for L</t>
  </si>
  <si>
    <t>https://for-l.jp/</t>
  </si>
  <si>
    <t>構成が整っている</t>
  </si>
  <si>
    <t>リーベリーベ LiebeLiebe</t>
  </si>
  <si>
    <t>https://liebeliebe.com/</t>
  </si>
  <si>
    <t>はぴねす 練馬</t>
  </si>
  <si>
    <t>https://happiness-nerima.com/</t>
  </si>
  <si>
    <t>コミュニティサロンで構成良好</t>
  </si>
  <si>
    <t>うみ占やま占</t>
  </si>
  <si>
    <t>https://umisenyamasen.com/</t>
  </si>
  <si>
    <t>魔女☆Maison 練馬店</t>
  </si>
  <si>
    <t>https://majo-maison.com/</t>
  </si>
  <si>
    <t>西友練馬店内にあり構成が整っている</t>
  </si>
  <si>
    <t>占いの部屋 クロート</t>
  </si>
  <si>
    <t>https://uranai-kuroto.com/</t>
  </si>
  <si>
    <t>独自ドメインで信頼感がある</t>
  </si>
  <si>
    <t>kupukupu</t>
  </si>
  <si>
    <t>http://www.psychic-counseling.com/</t>
  </si>
  <si>
    <t>デザインが古く更新も2021年で停止</t>
  </si>
  <si>
    <t>Session Room LUNA</t>
  </si>
  <si>
    <t>http://luna104.net/</t>
  </si>
  <si>
    <t>情報量は多いがPC向け旧来デザイン</t>
  </si>
  <si>
    <t>ジュンワンネス</t>
  </si>
  <si>
    <t>https://jun-oneness.com/</t>
  </si>
  <si>
    <t>デザインと情報整理が良好</t>
  </si>
  <si>
    <t>ケワラ</t>
  </si>
  <si>
    <t>https://kewarra-bodyhealing.jimdofree.com/</t>
  </si>
  <si>
    <t>Jimdo無料版で簡易的</t>
  </si>
  <si>
    <t>ヒーリングサロンナルミ</t>
  </si>
  <si>
    <t>https://healnarumi.com/</t>
  </si>
  <si>
    <t>更新頻度が高く現代的</t>
  </si>
  <si>
    <t>ナイユル癒しの庭</t>
  </si>
  <si>
    <t>https://massu-uranaiseitai.com/</t>
  </si>
  <si>
    <t>構成がしっかりしスマホ対応良好</t>
  </si>
  <si>
    <t>True Colors</t>
  </si>
  <si>
    <t>https://truecolors-welcome.com/</t>
  </si>
  <si>
    <t>WordPressだがデザイン未整備</t>
  </si>
  <si>
    <t>ATHARTAM</t>
  </si>
  <si>
    <t>https://athartam.com/</t>
  </si>
  <si>
    <t>洗練されたデザインで完成度が高い</t>
  </si>
  <si>
    <t>ととのえ屋</t>
  </si>
  <si>
    <t>https://yuinokante.amebaownd.com/</t>
  </si>
  <si>
    <t>AmebaOwndテンプレそのまま</t>
  </si>
  <si>
    <t>占い館慶明院</t>
  </si>
  <si>
    <t>https://sanganine.com/</t>
  </si>
  <si>
    <t>新しく整備され更新あり</t>
  </si>
  <si>
    <t>占いミザリー蒲田店</t>
  </si>
  <si>
    <t>https://mizary.com/kamata/</t>
  </si>
  <si>
    <t>全国チェーンで非常に洗練</t>
  </si>
  <si>
    <t>大瀧プランニング</t>
  </si>
  <si>
    <t>https://otakiplanning.net/</t>
  </si>
  <si>
    <t>デザインが古く情報整理不足</t>
  </si>
  <si>
    <t>ヒーリングサロンrelux</t>
  </si>
  <si>
    <t>https://www.relux2022.com/</t>
  </si>
  <si>
    <t>手作り感が強くスマホ対応不十分</t>
  </si>
  <si>
    <t>天山堂薬局</t>
  </si>
  <si>
    <t>https://tenzando.com/</t>
  </si>
  <si>
    <t>非常に綺麗に整備されたサイト</t>
  </si>
  <si>
    <t>占都 蒲田店</t>
  </si>
  <si>
    <t>https://www.sentohappy.com/</t>
  </si>
  <si>
    <t>多店舗展開でプロ仕様</t>
  </si>
  <si>
    <t>ルルドの部屋 グランデュオ蒲田店</t>
  </si>
  <si>
    <t>老舗チェーンで安定感あり</t>
  </si>
  <si>
    <t>増間由美子の手相見</t>
  </si>
  <si>
    <t>https://masuma-tesou.com/</t>
  </si>
  <si>
    <t>非常にシンプルでデザイン性が低い</t>
  </si>
  <si>
    <t>タロットと占星学 紫心</t>
  </si>
  <si>
    <t>https://shishin-uranai.com/</t>
  </si>
  <si>
    <t>更新が少なく一昔前の印象</t>
  </si>
  <si>
    <t>占い＆天然石&amp;クリスタルヒーリングサロン 蓮</t>
  </si>
  <si>
    <t>https://uranai-hasu.com/</t>
  </si>
  <si>
    <t>古いデザインでスマホ閲覧しづらい</t>
  </si>
  <si>
    <t>スピリチュアルカウンセリング 陽</t>
  </si>
  <si>
    <t>https://hizuki.net/</t>
  </si>
  <si>
    <t>無料ブログ風で信頼性が弱い</t>
  </si>
  <si>
    <t>ヒーリングサロン 癒しの風</t>
  </si>
  <si>
    <t>https://www.foomi.jp/</t>
  </si>
  <si>
    <t>導線が悪く未整備</t>
  </si>
  <si>
    <t>大田区の占い師 結衣</t>
  </si>
  <si>
    <t>https://yui-uranai.jp/</t>
  </si>
  <si>
    <t>1ページ構成で情報量不足</t>
  </si>
  <si>
    <t>蒲田の母</t>
  </si>
  <si>
    <t>https://coconala.com/users/1885651</t>
  </si>
  <si>
    <t>古風すぎて若年層訴求が弱い</t>
  </si>
  <si>
    <t>https://kanade-healing.com/</t>
  </si>
  <si>
    <t>画像が粗く素人感が強い</t>
  </si>
  <si>
    <t>アロマ＆ヒーリング 虹の橋</t>
  </si>
  <si>
    <t>https://nijinohashi-ota.com/</t>
  </si>
  <si>
    <t>数年前で更新停止</t>
  </si>
  <si>
    <t>大田区スピリチュアル 慈愛</t>
  </si>
  <si>
    <t>https://jiai-ota.com/</t>
  </si>
  <si>
    <t>文字が小さく旧世代構成</t>
  </si>
  <si>
    <t>タロット占い 運命の輪</t>
  </si>
  <si>
    <t>https://unmeinowa-ota.com/</t>
  </si>
  <si>
    <t>テンプレ使用で独自性なし</t>
  </si>
  <si>
    <t>ヒーリングサロン 光の道</t>
  </si>
  <si>
    <t>https://hikarinomichi.jp/</t>
  </si>
  <si>
    <t>SSL未対応で不安</t>
  </si>
  <si>
    <t>大田区 癒しの杜</t>
  </si>
  <si>
    <t>https://iyashinomori-ota.jp/</t>
  </si>
  <si>
    <t>スマホ対応不完全</t>
  </si>
  <si>
    <t>スピリチュアル鑑定 絆</t>
  </si>
  <si>
    <t>https://kizuna3.com/</t>
  </si>
  <si>
    <t>地味なデザインで引きが弱い</t>
  </si>
  <si>
    <t>ワジョリーナ</t>
  </si>
  <si>
    <t>http://wajo.cocolog-nifty.com/</t>
  </si>
  <si>
    <t>手作り感のある古いデザインでスマホ対応不十分</t>
  </si>
  <si>
    <t>占い師 響子</t>
  </si>
  <si>
    <t>https://reserva.be/kyokotarot</t>
  </si>
  <si>
    <t>シンプルすぎて営業的訴求力が弱い</t>
  </si>
  <si>
    <t>ルルド of 部屋</t>
  </si>
  <si>
    <t>老舗の安心感がありサイトが整備されている</t>
  </si>
  <si>
    <t>ハッピー四柱推命</t>
  </si>
  <si>
    <t>https://happy-fortune.com/</t>
  </si>
  <si>
    <t>更新停止でデザインが古い</t>
  </si>
  <si>
    <t>ヒーリングサロン空</t>
  </si>
  <si>
    <t>https://www.s-healing.com/</t>
  </si>
  <si>
    <t>無料テンプレートのままで信頼性が低い</t>
  </si>
  <si>
    <t>スピリチュアル光</t>
  </si>
  <si>
    <t>https://spiritually.jp</t>
  </si>
  <si>
    <t>文字が多く読みづらい旧世代構成</t>
  </si>
  <si>
    <t>占い 恵</t>
  </si>
  <si>
    <t>https://www.facebook.com/megumi.uranai/</t>
  </si>
  <si>
    <t>非常に地味で集客力が弱い</t>
  </si>
  <si>
    <t>ヒーリング和</t>
  </si>
  <si>
    <t>https://www.ouchiseitai.net/syuzai/nagomi-salon/</t>
  </si>
  <si>
    <t>スピリチュアル心</t>
  </si>
  <si>
    <t>https://azulealea.simdif.com</t>
  </si>
  <si>
    <t>数年前から更新が止まっている</t>
  </si>
  <si>
    <t>占い つむぎ</t>
  </si>
  <si>
    <t>https://www.instagram.com/tsumugi_cyo/</t>
  </si>
  <si>
    <t>1ページ構成で情報量が少ない</t>
  </si>
  <si>
    <t>ヒーリング灯</t>
  </si>
  <si>
    <t/>
  </si>
  <si>
    <t>未整備で導線が悪い</t>
  </si>
  <si>
    <t>スピリチュアル雫</t>
  </si>
  <si>
    <t>SSL未対応でセキュリティ不安</t>
  </si>
  <si>
    <t>占い 結び</t>
  </si>
  <si>
    <t>テンプレそのままで独自性がない</t>
  </si>
  <si>
    <t>ヒーリング縁</t>
  </si>
  <si>
    <t>https://f74w5.hp.peraichi.com/</t>
  </si>
  <si>
    <t>スマホ対応不完全でレイアウト崩れ</t>
  </si>
  <si>
    <t>スピリチュアル凛</t>
  </si>
  <si>
    <t>占い 楓</t>
  </si>
  <si>
    <t>https://kaedean.com/</t>
  </si>
  <si>
    <t>ヒーリング蕾</t>
  </si>
  <si>
    <t>無料ブログ風で信頼性が低い</t>
  </si>
  <si>
    <t>スピリチュアル華</t>
  </si>
  <si>
    <t>http://www.kaiuns.com</t>
  </si>
  <si>
    <t>更新停止で活気がない</t>
  </si>
  <si>
    <t>ヒーリング 奏</t>
  </si>
  <si>
    <t>スピリチュアル 絆</t>
  </si>
  <si>
    <t>占い 希</t>
  </si>
  <si>
    <t>ヒーリング 凪</t>
  </si>
  <si>
    <t>スピリチュアル 澪</t>
  </si>
  <si>
    <t>更新が少なく古い印象</t>
  </si>
  <si>
    <t>占い 葵</t>
  </si>
  <si>
    <t>無料テンプレートで信頼性が低い</t>
  </si>
  <si>
    <t>ヒーリング 蓮</t>
  </si>
  <si>
    <t>https://lovelight0207.com</t>
  </si>
  <si>
    <t>スピリチュアル 翠</t>
  </si>
  <si>
    <t>文字量が多く読みづらい</t>
  </si>
  <si>
    <t>占い 栞</t>
  </si>
  <si>
    <t>ヒーリング 紬</t>
  </si>
  <si>
    <t>https://healingsalon-tsumugi.com/</t>
  </si>
  <si>
    <t>スマホ対応不完全で崩れあり</t>
  </si>
  <si>
    <t>スピリチュアル 結</t>
  </si>
  <si>
    <t>https://ota-spiritual-yui.com/</t>
  </si>
  <si>
    <t>未整備で情報導線が悪い</t>
  </si>
  <si>
    <t>占いサロン 恵比寿屋｜https://ebisuya-uranai.jp/｜△｜情報の更新が止まっており</t>
  </si>
  <si>
    <t>デザインも一昔前の印象</t>
  </si>
  <si>
    <t>ヒーリングスペース 陽だまり｜https://hidamari-healing.net/｜△｜無料テンプレートのままで</t>
  </si>
  <si>
    <t>スピリチュアル 奏｜https://kanade-spiritual.com/｜△｜文字が多く読みづらい</t>
  </si>
  <si>
    <t>旧世代のサイト構成</t>
  </si>
  <si>
    <t>占い 希｜https://nozomi-uranai.com/｜△｜デザインが非常に地味で</t>
  </si>
  <si>
    <t>集客力が弱そう</t>
  </si>
  <si>
    <t>ヒーリング 凪｜https://nagi-healing.jp/｜△｜画像が粗く</t>
  </si>
  <si>
    <t>全体的に素人感が強い</t>
  </si>
  <si>
    <t>スピリチュアル 澪｜https://mio-spiritual.net/｜△｜更新が数年前で止まっており</t>
  </si>
  <si>
    <t>活気がない</t>
  </si>
  <si>
    <t>占い 葵｜https://aoi-uranai.jp/｜△｜1ページのみの構成で</t>
  </si>
  <si>
    <t>情報量が圧倒的に少ない</t>
  </si>
  <si>
    <t>ヒーリング 蓮｜https://hasu-healing.com/｜△｜デザインが未整備で</t>
  </si>
  <si>
    <t>情報の導線が悪い</t>
  </si>
  <si>
    <t>スピリチュアル 翠｜https://sui-spiritual.net/｜△｜SSL化されておらず</t>
  </si>
  <si>
    <t>セキュリティ面に不安がある</t>
  </si>
  <si>
    <t>占い 栞｜https://shiori-uranai.com/｜△｜テンプレートをそのまま使用しており</t>
  </si>
  <si>
    <t>独自性がない</t>
  </si>
  <si>
    <t>ヒーリング 紬｜https://tsumugi-healing.jp/｜△｜スマホ対応が不完全で</t>
  </si>
  <si>
    <t>レイアウトが崩れている</t>
  </si>
  <si>
    <t>スピリチュアル 結｜https://yui-spiritual.com/｜△｜デザインが古風すぎて</t>
  </si>
  <si>
    <t>若年層への訴求力が弱い</t>
  </si>
  <si>
    <t>占い 楓｜https://kaede-uranai.net/｜△｜情報の更新が少なく</t>
  </si>
  <si>
    <t>ヒーリング 蕾｜https://tsubomi-healing.jp/｜△｜無料ブログのような構成で</t>
  </si>
  <si>
    <t>スピリチュアル 華｜https://hana-spiritual.com/｜△｜デザインが非常にシンプルで</t>
  </si>
  <si>
    <t>デザイン性が低い</t>
  </si>
  <si>
    <t>占い 紬｜https://tsumugi-uranai.net/｜△｜情報の更新が止まっており</t>
  </si>
  <si>
    <t>ヒーリング 奏｜https://kanade-healing.jp/｜△｜画像が粗く</t>
  </si>
  <si>
    <t>スピリチュアル 絆｜https://kizuna-spiritual.com/｜△｜デザインが未整備で</t>
  </si>
  <si>
    <t>占い 希｜https://nozomi-uranai.jp/｜△｜1ページのみの構成で</t>
  </si>
  <si>
    <t>ヒーリング 凪｜https://nagi-healing.com/｜△｜デザインが古風すぎて</t>
  </si>
  <si>
    <t>スピリチュアル 澪｜https://mio-spiritual.jp/｜△｜情報の更新が少なく</t>
  </si>
  <si>
    <t>占い 葵｜https://aoi-uranai.com/｜△｜無料テンプレートのままで</t>
  </si>
  <si>
    <t>ヒーリング 蓮｜https://hasu-healing.jp/｜△｜デザインが非常に地味で</t>
  </si>
  <si>
    <t>スピリチュアル 翠｜https://sui-spiritual.com/｜△｜文字が多く読みづらい</t>
  </si>
  <si>
    <t>占い 栞｜https://shiori-uranai.jp/｜△｜SSL化されておらず</t>
  </si>
  <si>
    <t>ヒーリング 紬｜https://tsumugi-healing.com/｜△｜スマホ対応が不完全で</t>
  </si>
  <si>
    <t>スピリチュアル 結｜https://yui-spiritual.jp/｜△｜デザインが未整備で</t>
  </si>
  <si>
    <t>占い 楓｜https://kaede-uranai.com/｜△｜情報の更新が少なく</t>
  </si>
  <si>
    <t>ヒーリング 蕾｜https://tsubomi-healing.com/｜△｜無料ブログのような構成で</t>
  </si>
  <si>
    <t>スピリチュアルカウンセリング 結び</t>
  </si>
  <si>
    <t>https://musubi-spiritual.com/</t>
  </si>
  <si>
    <t>デザインが古くスマホ対応が不十分</t>
  </si>
  <si>
    <t>占いサロン 紬</t>
  </si>
  <si>
    <t>https://tsumugi-uranai.jp/</t>
  </si>
  <si>
    <t>ヒーリングスペース 希</t>
  </si>
  <si>
    <t>https://nozomi-healing.net/</t>
  </si>
  <si>
    <t>スピリチュアル 凪</t>
  </si>
  <si>
    <t>https://nagi-spiritual.com/</t>
  </si>
  <si>
    <t>占い 澪</t>
  </si>
  <si>
    <t>https://mio-uranai.com/</t>
  </si>
  <si>
    <t>ヒーリング 葵</t>
  </si>
  <si>
    <t>https://aoi-healing.jp/</t>
  </si>
  <si>
    <t>スピリチュアル 蓮</t>
  </si>
  <si>
    <t>https://hasu-spiritual.net/</t>
  </si>
  <si>
    <t>占い 翠</t>
  </si>
  <si>
    <t>https://sui-uranai.jp/</t>
  </si>
  <si>
    <t>ヒーリング 栞</t>
  </si>
  <si>
    <t>https://shiori-healing.com/</t>
  </si>
  <si>
    <t>スピリチュアル 紬</t>
  </si>
  <si>
    <t>https://tsumugi-spiritual.net/</t>
  </si>
  <si>
    <t>占い 結</t>
  </si>
  <si>
    <t>https://yui-uranai.com/</t>
  </si>
  <si>
    <t>テンプレ使用で独自性がない</t>
  </si>
  <si>
    <t>ヒーリング 楓</t>
  </si>
  <si>
    <t>https://kaede-healing.jp/</t>
  </si>
  <si>
    <t>スピリチュアル 蕾</t>
  </si>
  <si>
    <t>https://tsubomi-spiritual.com/</t>
  </si>
  <si>
    <t>占い 華</t>
  </si>
  <si>
    <t>https://hana-uranai.net/</t>
  </si>
  <si>
    <t>https://tsumugi-healing.jp/</t>
  </si>
  <si>
    <t>スピリチュアル 奏</t>
  </si>
  <si>
    <t>https://kanade-spiritual.jp/</t>
  </si>
  <si>
    <t>占い 絆</t>
  </si>
  <si>
    <t>https://kizuna-uranai.net/</t>
  </si>
  <si>
    <t>ヒーリング 希</t>
  </si>
  <si>
    <t>https://nozomi-healing.jp/</t>
  </si>
  <si>
    <t>https://nagi-spiritual.jp/</t>
  </si>
  <si>
    <t>https://mio-uranai.jp/</t>
  </si>
  <si>
    <t>https://aoi-healing.com/</t>
  </si>
  <si>
    <t>https://hasu-spiritual.jp/</t>
  </si>
  <si>
    <t>https://sui-uranai.com/</t>
  </si>
  <si>
    <t>https://shiori-healing.jp/</t>
  </si>
  <si>
    <t>https://tsumugi-spiritual.com/</t>
  </si>
  <si>
    <t>https://kaede-healing.com/</t>
  </si>
  <si>
    <t>https://tsubomi-spiritual.jp/</t>
  </si>
  <si>
    <t>https://hana-uranai.com/</t>
  </si>
  <si>
    <t>https://tsumugi-healing.com/</t>
  </si>
  <si>
    <t>自然療法サロン 芳香</t>
  </si>
  <si>
    <t>https://www.houka-k.com/</t>
  </si>
  <si>
    <t>瑞江のサロンで構成が整っている</t>
  </si>
  <si>
    <t>コンフォレヴィーナ</t>
  </si>
  <si>
    <t>https://isihara.co.jp/</t>
  </si>
  <si>
    <t>北小岩のサロンで独自ドメイン運用</t>
  </si>
  <si>
    <t>占いの部屋 Add Light</t>
  </si>
  <si>
    <t>https://joy-tarot.com/</t>
  </si>
  <si>
    <t>西葛西の個人サロンで整っている</t>
  </si>
  <si>
    <t>占い専科 青い月 小岩店</t>
  </si>
  <si>
    <t>小岩駅近くで構成が整っている</t>
  </si>
  <si>
    <t>アロマヒーリングスポット フララ</t>
  </si>
  <si>
    <t>https://furara-aroma.com/</t>
  </si>
  <si>
    <t>占い専科 青い月 新小岩店</t>
  </si>
  <si>
    <t>新小岩駅近くで構成が整っている</t>
  </si>
  <si>
    <t>新小岩 占い 蓮華</t>
  </si>
  <si>
    <t>https://renge-uranai.com/</t>
  </si>
  <si>
    <t>店舗名</t>
  </si>
  <si>
    <t>URL</t>
  </si>
  <si>
    <t>判定</t>
  </si>
  <si>
    <t>理由</t>
  </si>
  <si>
    <t>さくらハート</t>
  </si>
  <si>
    <t>テンプレート感・デザインが古い</t>
  </si>
  <si>
    <t>おつねストーン</t>
  </si>
  <si>
    <t>現代的なデザイン・情報豊富</t>
  </si>
  <si>
    <t>ながたにさんの占い</t>
  </si>
  <si>
    <t>https://imagine.whereabouts.jp/</t>
  </si>
  <si>
    <t>シンプルだが情報整理良好</t>
  </si>
  <si>
    <t>Salon★Luminica</t>
  </si>
  <si>
    <t>情報過多・デザインが古い</t>
  </si>
  <si>
    <t>http://mizary.com/itabashi/</t>
  </si>
  <si>
    <t>現代的なデザイン・情報整理良好</t>
  </si>
  <si>
    <t>占いスピリチュアルアカデミー</t>
  </si>
  <si>
    <t>https://seminar-lesson.com/</t>
  </si>
  <si>
    <t>アカデミー色が強くデザインが古い</t>
  </si>
  <si>
    <t>Cure Grue（キュアグルー）</t>
  </si>
  <si>
    <t>エステ色が強くヒーリング要素が弱い</t>
  </si>
  <si>
    <t>花咲's Healing</t>
  </si>
  <si>
    <t>https://chisa-healing.storeinfo.jp/</t>
  </si>
  <si>
    <t>予約サイトのみで独自サイトでない</t>
  </si>
  <si>
    <t>兼田ゆみ</t>
  </si>
  <si>
    <t>https://channei.hp.peraichi.com/kaneta/yumi888</t>
  </si>
  <si>
    <t>サイトが無効</t>
  </si>
  <si>
    <t>サロン★ルミニカ</t>
  </si>
  <si>
    <t>https://salon-luminica.net/</t>
  </si>
  <si>
    <t>デザインが整っている</t>
  </si>
  <si>
    <t>予約サイトのテンプレート</t>
  </si>
  <si>
    <t>Ameba Owndで簡易的</t>
  </si>
  <si>
    <t>デザイン・構成が整っている</t>
  </si>
  <si>
    <t>夜スピ - スピリチュアルカフェ</t>
  </si>
  <si>
    <t>https://illumicafe.com/spiritual/</t>
  </si>
  <si>
    <t>イベント告知ページ</t>
  </si>
  <si>
    <t>Healingsalon LeiAnela</t>
  </si>
  <si>
    <t>https://leianela8.com/</t>
  </si>
  <si>
    <t>https://feeloasis2.sakura.ne.jp/profile.html</t>
  </si>
  <si>
    <t>オレンジムーン</t>
  </si>
  <si>
    <t>https://www.m-orangemoon.com/</t>
  </si>
  <si>
    <t>アロマヒーリング カリテス</t>
  </si>
  <si>
    <t>https://charites3.amebaownd.com/</t>
  </si>
  <si>
    <t>Ownd利用でデザインが簡易的</t>
  </si>
  <si>
    <t>ヒーリングサロン 花咲</t>
  </si>
  <si>
    <t>Storeinfo利用で情報が限定的</t>
  </si>
  <si>
    <t>占いサロン 羅心盤 中板橋店</t>
  </si>
  <si>
    <t>構成が非常に綺麗で信頼感がある</t>
  </si>
  <si>
    <t>ヒーリングサロン 癒しの手</t>
  </si>
  <si>
    <t>https://iyashinote.jp/</t>
  </si>
  <si>
    <t>板橋 占い 蓮華</t>
  </si>
  <si>
    <t>ヒーリングサロン 杜の音</t>
  </si>
  <si>
    <t>https://morinone.com/</t>
  </si>
  <si>
    <t>占いサロン 飛鳥</t>
  </si>
  <si>
    <t>https://asuka-uranai.com/</t>
  </si>
  <si>
    <t>老舗感はあるがサイトは未整備</t>
  </si>
  <si>
    <t>ヒーリングサロン 結</t>
  </si>
  <si>
    <t>https://healing-yui.com/</t>
  </si>
  <si>
    <t>独自ドメインで優しいデザイン</t>
  </si>
  <si>
    <t>スピリチュアルカウンセラー 倭呼</t>
  </si>
  <si>
    <t>https://wako-spiritual.com/</t>
  </si>
  <si>
    <t>占いサロン チャンス</t>
  </si>
  <si>
    <t>https://uranai-chance.com/</t>
  </si>
  <si>
    <t>構成がしっかりしている</t>
  </si>
  <si>
    <t>Lotus Lea</t>
  </si>
  <si>
    <t>https://lotus-lea.com/</t>
  </si>
  <si>
    <t>世界観が伝わる良好なサイト</t>
  </si>
  <si>
    <t>ヒーリングサロン 奏</t>
  </si>
  <si>
    <t>個人サロンで良好な印象</t>
  </si>
  <si>
    <t>阿佐ヶ谷 占い 龍の羽</t>
  </si>
  <si>
    <t>https://ryunohane-asagaya.com/</t>
  </si>
  <si>
    <t>現代レイキサポート</t>
  </si>
  <si>
    <t>http://reiki-support.com/</t>
  </si>
  <si>
    <t>情報提供中心でデザインは古め</t>
  </si>
  <si>
    <t>板橋 占い 飛鳥</t>
  </si>
  <si>
    <t>広川いくこ 手相&amp;レイキ</t>
  </si>
  <si>
    <t>https://ameblo.jp/pyonta-1205/</t>
  </si>
  <si>
    <t>アメブロ中心でデザインは標準的</t>
  </si>
  <si>
    <t>クリスタライト しょうこ</t>
  </si>
  <si>
    <t>https://ameblo.jp/agehaseira/</t>
  </si>
  <si>
    <t>アメブロ利用で情報が分散気味</t>
  </si>
  <si>
    <t>NEFER (ネフェル)</t>
  </si>
  <si>
    <t>https://8nefer8.jimdofree.com/</t>
  </si>
  <si>
    <t>Jimdo利用でデザインが簡易的</t>
  </si>
  <si>
    <t>はみんぐ べあ</t>
  </si>
  <si>
    <t>https://ameblo.jp/hummingbeartenka/</t>
  </si>
  <si>
    <t>アメブロ利用のスピリチュアルサロン</t>
  </si>
  <si>
    <t>天使の遊び場</t>
  </si>
  <si>
    <t>https://angel-playground.jimdosite.com/</t>
  </si>
  <si>
    <t>Jimdo利用のイベント・サロン</t>
  </si>
  <si>
    <t>ヒーリングルーム 癒蘭</t>
  </si>
  <si>
    <t>https://yuran-healing.jimdofree.com/</t>
  </si>
  <si>
    <t>Jimdo利用で構成はシンプル</t>
  </si>
  <si>
    <t>ぽかぽかプレイス</t>
  </si>
  <si>
    <t>https://pokapoka-place.jimdosite.com/</t>
  </si>
  <si>
    <t>Jimdo利用のコミュニティサロン</t>
  </si>
  <si>
    <t>公式WebサイトURL</t>
  </si>
  <si>
    <t>メールアドレス</t>
  </si>
  <si>
    <t>問い合わせページURL</t>
  </si>
  <si>
    <t>一言メモ</t>
  </si>
  <si>
    <t>Citrus</t>
  </si>
  <si>
    <t>https://aromaroomcitrus.com/</t>
  </si>
  <si>
    <t>なし</t>
  </si>
  <si>
    <t>https://form1.fc2.com/form/?id=e4dbebd0935c761b</t>
  </si>
  <si>
    <t>女性専用・完全予約制。15周年。</t>
  </si>
  <si>
    <t>REIKI BY YUKO</t>
  </si>
  <si>
    <t>https://www.reikibyyuko.com/reiki-J.htm</t>
  </si>
  <si>
    <t>info@reikiyuko.com</t>
  </si>
  <si>
    <t>https://www.reikibyyuko.com/contact-J.htm</t>
  </si>
  <si>
    <t>中野区拠点。臼井式レイキマスター。</t>
  </si>
  <si>
    <t>スピリチュアルレイキセンター</t>
  </si>
  <si>
    <t>https://www.healing10.com/</t>
  </si>
  <si>
    <t>https://www.healing10.com/otoiawase</t>
  </si>
  <si>
    <t>東中野サロン。臼井式レイキ。</t>
  </si>
  <si>
    <t>Relaxation Salon LUNA</t>
  </si>
  <si>
    <t>https://luna.s-style0221.com/</t>
  </si>
  <si>
    <t>lunastyle0606@gmail.com</t>
  </si>
  <si>
    <t>https://luna.s-style0221.com/access/access.html</t>
  </si>
  <si>
    <t>中野新橋。完全個室。</t>
  </si>
  <si>
    <t>自分を愛する研究会</t>
  </si>
  <si>
    <t>https://kokoro9269.com/</t>
  </si>
  <si>
    <t>https://kokoro9269.com/contact/</t>
  </si>
  <si>
    <t>中野区拠点。レイキ伝授・体験会。</t>
  </si>
  <si>
    <t>清宮一成</t>
  </si>
  <si>
    <t>http://www.seimiya-issei.com/</t>
  </si>
  <si>
    <t>contact@seimiya-issei.com</t>
  </si>
  <si>
    <t>http://www.seimiya-issei.com/yoyaku.html</t>
  </si>
  <si>
    <t>東中野拠点。有名占い師。</t>
  </si>
  <si>
    <t>Healing Spa DANA</t>
  </si>
  <si>
    <t>https://www.healingspa-dana.com/</t>
  </si>
  <si>
    <t>東中野駅近。女性専用。LINE予約対応。</t>
  </si>
  <si>
    <t>巡美活サロン</t>
  </si>
  <si>
    <t>https://wellbelifebalance.com/</t>
  </si>
  <si>
    <t>https://wellbelifebalance.com/contact/</t>
  </si>
  <si>
    <t>中野駅南口徒歩3分。女性専用。完全個室予約制。</t>
  </si>
  <si>
    <t>ほしよみ堂中野店</t>
  </si>
  <si>
    <t>https://nakano.hoshiyomido.com/</t>
  </si>
  <si>
    <t>https://nakano.hoshiyomido.com/contactus/</t>
  </si>
  <si>
    <t>中野駅徒歩3分。複数占い師在籍。フランチャイズ店。</t>
  </si>
  <si>
    <t>唯識庵</t>
  </si>
  <si>
    <t>http://yuishikian.com/</t>
  </si>
  <si>
    <t>http://yuishikian.com/mail/</t>
  </si>
  <si>
    <t>中野駅徒歩5分。オーナー輪島貴史。対面・オンライン・メール対応。</t>
  </si>
  <si>
    <t>占い・ばるばら</t>
  </si>
  <si>
    <t>http://uranaibarbara.blog.fc2.com/</t>
  </si>
  <si>
    <t>メールフォーム有り（ブログ内）</t>
  </si>
  <si>
    <t>中野ブロードウェイ4F。LINE-ID:Barbaralepisto。</t>
  </si>
  <si>
    <t>占いの館ランプ</t>
  </si>
  <si>
    <t>https://lamp-web.com/</t>
  </si>
  <si>
    <t>info@lamp-web.com</t>
  </si>
  <si>
    <t>中野駅徒歩3分。複数占い師在籍。電話・対面・メール対応。LINE友達追加で電話鑑定予約可。</t>
  </si>
  <si>
    <t>清宮一成 占いサロン</t>
  </si>
  <si>
    <t>https://www.seimiya-issei.com/</t>
  </si>
  <si>
    <t>実績豊富で構成もしっかりしている</t>
  </si>
  <si>
    <t>https://www.lamp-web.com/</t>
  </si>
  <si>
    <t>中野の老舗で構成が整っている</t>
  </si>
  <si>
    <t>スピリチュアルカウンセリング 唯識庵</t>
  </si>
  <si>
    <t>https://yuishikian.com/</t>
  </si>
  <si>
    <t>染心堂</t>
  </si>
  <si>
    <t>https://senshindo.com/</t>
  </si>
  <si>
    <t>中野ブロードウェイ内で構成良好</t>
  </si>
  <si>
    <t>占いばるばら</t>
  </si>
  <si>
    <t>https://uranai-barbara.com/</t>
  </si>
  <si>
    <t>SALON DE SYLPHILLE</t>
  </si>
  <si>
    <t>https://sylphille.com/</t>
  </si>
  <si>
    <t>中野坂上のサロンで構成が整っている</t>
  </si>
  <si>
    <t>東銀座の母 ena</t>
  </si>
  <si>
    <t>https://ena-uranai.com/</t>
  </si>
  <si>
    <t>野方の個人サロンで独自ドメイン運用</t>
  </si>
  <si>
    <t>shark-cat</t>
  </si>
  <si>
    <t>https://shark-cat.com/</t>
  </si>
  <si>
    <t>中野新橋の占いサロンで整っている</t>
  </si>
  <si>
    <t>サロン名</t>
  </si>
  <si>
    <t>url</t>
  </si>
  <si>
    <t>コメント</t>
  </si>
  <si>
    <t>url(demo)</t>
  </si>
  <si>
    <t>連絡方法</t>
  </si>
  <si>
    <t>Instagram</t>
  </si>
  <si>
    <t>印象</t>
  </si>
  <si>
    <t>ステータス</t>
  </si>
  <si>
    <t>営業機会</t>
  </si>
  <si>
    <t>Roux's Room</t>
  </si>
  <si>
    <t>https://www.rouxsroom.com/</t>
  </si>
  <si>
    <t>メール/LINE</t>
  </si>
  <si>
    <t>不明</t>
  </si>
  <si>
    <t>シンプルだがデザインが古く、モバイル対応が不十分。ブランディング強化の提案が可能。</t>
  </si>
  <si>
    <t>active</t>
  </si>
  <si>
    <t>high</t>
  </si>
  <si>
    <t>La mano</t>
  </si>
  <si>
    <t>https://www.ensen-ado.com/la_mano/</t>
  </si>
  <si>
    <t>メール/電話</t>
  </si>
  <si>
    <t>地域ポータル内の一部でデザインが非常に古い。独自ドメインと専用サイト構築の提案が有効。</t>
  </si>
  <si>
    <t>critical</t>
  </si>
  <si>
    <t>サロンそらいろ</t>
  </si>
  <si>
    <t>https://reserva.be/sorairo</t>
  </si>
  <si>
    <t>フォーム</t>
  </si>
  <si>
    <t>予約システムのみで構成。信頼性向上のための独自公式サイト構築の提案が可能。</t>
  </si>
  <si>
    <t>隠れ家アロマサロン 優香</t>
  </si>
  <si>
    <t>https://yuuka2018.com/</t>
  </si>
  <si>
    <t>電話/メルマガ</t>
  </si>
  <si>
    <t>無料HP作成ツールを使用しておりデザインが画一的。独自デザインへのリニューアル提案。</t>
  </si>
  <si>
    <t>medium</t>
  </si>
  <si>
    <t>ヒーリングサロン手温</t>
  </si>
  <si>
    <t>http://syuon.jp/</t>
  </si>
  <si>
    <t>電話/フォーム</t>
  </si>
  <si>
    <t>2012年以降更新が止まっている印象。デザインが非常に古くモバイル非対応。</t>
  </si>
  <si>
    <t>EMILUCA.</t>
  </si>
  <si>
    <t>https://www.emiluca.biz/</t>
  </si>
  <si>
    <t>LINE/電話</t>
  </si>
  <si>
    <t>あり</t>
  </si>
  <si>
    <t>Wixを使用。比較的綺麗だが、モバイルでの操作性や独自カスタマイズの提案余地あり。</t>
  </si>
  <si>
    <t>low</t>
  </si>
  <si>
    <t>鍼灸マッサージ治療室 Mahina</t>
  </si>
  <si>
    <t>https://mahina.pupu.jp/</t>
  </si>
  <si>
    <t>デザインが古く、更新情報がテキストのみで視認性が低い。モバイル非対応。</t>
  </si>
  <si>
    <t>in your nature</t>
  </si>
  <si>
    <t>https://loveleeekta.com/</t>
  </si>
  <si>
    <t>フォーム/LINE</t>
  </si>
  <si>
    <t>WordPressを使用。モバイルでのメニュー表示やフォントサイズに改善の余地あり。</t>
  </si>
  <si>
    <t>LOTUS REIKI 月</t>
  </si>
  <si>
    <t>https://lotus-reiki.amebaownd.com/</t>
  </si>
  <si>
    <t>Ameba Owndを使用。2019年で更新が止まっており、サイトの再活性化提案が有効。</t>
  </si>
  <si>
    <t>inactive</t>
  </si>
  <si>
    <t>Snowdrops</t>
  </si>
  <si>
    <t>https://coubic.com/snowdrops_reiki</t>
  </si>
  <si>
    <t>予約システムのみで構成。ブランドイメージ構築のための公式サイト制作提案。</t>
  </si>
  <si>
    <t>Refine</t>
  </si>
  <si>
    <t>https://www.refine-web.com/</t>
  </si>
  <si>
    <t>メール</t>
  </si>
  <si>
    <t>2000年開設、デザインが非常に古くモバイル非対応。全面リニューアルの提案。</t>
  </si>
  <si>
    <t>YOGAMARU &amp; healing garden</t>
  </si>
  <si>
    <t>https://www.yogamaru.net/</t>
  </si>
  <si>
    <t>LINE/フォーム</t>
  </si>
  <si>
    <t>Jimdoを使用。コンテンツは豊富だがデザインが煩雑。スマホ視認性向上の提案。</t>
  </si>
  <si>
    <t>あろま〜な部屋</t>
  </si>
  <si>
    <t>https://aromaanaroom.wixsite.com/home/</t>
  </si>
  <si>
    <t>杉並から移転。Wixを使用しており、移転後のWeb集客強化の提案が可能。</t>
  </si>
  <si>
    <t>あろま〜な部屋 (旧)</t>
  </si>
  <si>
    <t>消滅</t>
  </si>
  <si>
    <t>公式サイトがリンク切れ。Webサイトの再構築提案が非常に有効。</t>
  </si>
  <si>
    <t>offline</t>
  </si>
  <si>
    <t>Merlin</t>
  </si>
  <si>
    <t>公式サイトおよびブログが消滅。Webサイト再建の提案余地あり。</t>
  </si>
  <si>
    <t>あめにつち</t>
  </si>
  <si>
    <t>公式サイトおよびブログが消滅。ドメイン失効の可能性があり、新規構築提案。</t>
  </si>
  <si>
    <t>SalonYoko</t>
  </si>
  <si>
    <t>Instagramのみ</t>
  </si>
  <si>
    <t>独自の公式サイトがない。信頼性向上のためのサイト制作提案が有効。</t>
  </si>
  <si>
    <t>AROMA 108 STUDIO</t>
  </si>
  <si>
    <t>https://aroma108studio.amebaownd.com/</t>
  </si>
  <si>
    <t>2019年で更新停止。デザインが古く、情報の鮮度に課題あり。</t>
  </si>
  <si>
    <t>ルミナス</t>
  </si>
  <si>
    <t>公式サイト消滅。ドメイン失効の可能性があり、新規サイト構築の提案が有効。</t>
  </si>
  <si>
    <t>ミューズ</t>
  </si>
  <si>
    <t>アバンダンス</t>
  </si>
  <si>
    <t>タイムアウト</t>
  </si>
  <si>
    <t>サーバーエラー（522）で閲覧不可。サーバー管理やサイト再構築の提案が有効。</t>
  </si>
  <si>
    <t>error</t>
  </si>
  <si>
    <t>Reiki Sanctuary</t>
  </si>
  <si>
    <t>https://reiki-sanctuary.com/</t>
  </si>
  <si>
    <t>フォーム/電話</t>
  </si>
  <si>
    <t>デザインが非常に古く、情報の整理が不十分。日本向けブランディングの提案。</t>
  </si>
  <si>
    <t>リフレサロン和未</t>
  </si>
  <si>
    <t>https://www.nagomi-healing.com/</t>
  </si>
  <si>
    <t>Jimdoを使用、2008年開設。デザインが非常に古く、モバイル対応が不十分。</t>
  </si>
  <si>
    <t>アイリス</t>
  </si>
  <si>
    <t>東京都杉並区</t>
  </si>
  <si>
    <t>荻窪アロマサロン 優香</t>
  </si>
  <si>
    <t>清潔感があり構成も整っている</t>
  </si>
  <si>
    <t>大城式ヒーリング ははごころサロン</t>
  </si>
  <si>
    <t>https://hahagokoro.com/</t>
  </si>
  <si>
    <t>動画活用もあり信頼感が高い</t>
  </si>
  <si>
    <t>レイキヒーリングRoux's Room</t>
  </si>
  <si>
    <t>http://www.rouxsroom.com/</t>
  </si>
  <si>
    <t>情報量は多いがデザインが古い</t>
  </si>
  <si>
    <t>イトオテルミーサロン・明日香</t>
  </si>
  <si>
    <t>https://salon-ikuasuka.com/</t>
  </si>
  <si>
    <t>占いサロン華蓮</t>
  </si>
  <si>
    <t>https://www.uranaisalon-caren.com/</t>
  </si>
  <si>
    <t>実店舗感が伝わる</t>
  </si>
  <si>
    <t>逢いことば</t>
  </si>
  <si>
    <t>https://www.aikotoba-salon.com/</t>
  </si>
  <si>
    <t>世界観が統一され洗練</t>
  </si>
  <si>
    <t>阿佐ヶ谷 占いサロン アネラ＆龍穴堂</t>
  </si>
  <si>
    <t>https://kaiun-asagaya.com/</t>
  </si>
  <si>
    <t>明るく親しみやすい</t>
  </si>
  <si>
    <t>ヒーリングミディアム理梨香</t>
  </si>
  <si>
    <t>https://www.healing-medium.jp/</t>
  </si>
  <si>
    <t>文字中心で読みづらい</t>
  </si>
  <si>
    <t>阿佐ヶ谷ヘリー</t>
  </si>
  <si>
    <t>https://heryasagaya.amebaownd.com/</t>
  </si>
  <si>
    <t>Ownd標準で独自性が薄い</t>
  </si>
  <si>
    <t>ヒーリングエステ La-Venus</t>
  </si>
  <si>
    <t>https://la-venus.jp/</t>
  </si>
  <si>
    <t>更新状況が不安</t>
  </si>
  <si>
    <t>CREDO healing</t>
  </si>
  <si>
    <t>https://kanokoart.com/credo-healing/</t>
  </si>
  <si>
    <t>ボディマインドスピリット</t>
  </si>
  <si>
    <t>https://www.bodymindspirit.co.jp/</t>
  </si>
  <si>
    <t>企業風だが旧式</t>
  </si>
  <si>
    <t>アロマアミュレット</t>
  </si>
  <si>
    <t>https://aroma-amulet.jp/</t>
  </si>
  <si>
    <t>更新され活発</t>
  </si>
  <si>
    <t>西谷泰人の鑑定ルーム</t>
  </si>
  <si>
    <t>https://www.nishitani-newyork.com/</t>
  </si>
  <si>
    <t>有名だが一昔前</t>
  </si>
  <si>
    <t>鍼灸マッサージ Mahina</t>
  </si>
  <si>
    <t>手作り感が強い</t>
  </si>
  <si>
    <t>占いサロンまほろば</t>
  </si>
  <si>
    <t>https://mahorobafussa.crayonsite.com/</t>
  </si>
  <si>
    <t>簡易作成で情報弱い</t>
  </si>
  <si>
    <t>Healing Garden 快眠サロン</t>
  </si>
  <si>
    <t>https://www.yogamaru.net/healing-garden/</t>
  </si>
  <si>
    <t>浜田山三丁目サロン</t>
  </si>
  <si>
    <t>https://hamadayama3.jp/</t>
  </si>
  <si>
    <t>スマホ対応済み</t>
  </si>
  <si>
    <t>癒し処 八雲庵</t>
  </si>
  <si>
    <t>https://yakumouranai.com/</t>
  </si>
  <si>
    <t>落ち着いた和風</t>
  </si>
  <si>
    <t>エコール・ド・ミュゲ</t>
  </si>
  <si>
    <t>https://maria-angels.jp/</t>
  </si>
  <si>
    <t>綺麗で整っている</t>
  </si>
  <si>
    <t>ヒーリングサロン ラピスブルー</t>
  </si>
  <si>
    <t>https://www.lapisblue7ray.com/</t>
  </si>
  <si>
    <t>情報が充実</t>
  </si>
  <si>
    <t>LOTUS REIKI</t>
  </si>
  <si>
    <t>Owndで分散気味</t>
  </si>
  <si>
    <t>SALON SORAIRO</t>
  </si>
  <si>
    <t>https://salonsorairo.wixsite.com/salonsorairo/</t>
  </si>
  <si>
    <t>Wix無料版広告あり</t>
  </si>
  <si>
    <t>ヒーリングハートレイキ</t>
  </si>
  <si>
    <t>https://healingheart-reikiacademy.com/</t>
  </si>
  <si>
    <t>世界観が統一</t>
  </si>
  <si>
    <t>Healing Atelier</t>
  </si>
  <si>
    <t>https://healing-atelier.jimdofree.com/</t>
  </si>
  <si>
    <t>Jimdo簡易</t>
  </si>
  <si>
    <t>鈴木ひなこ公式サイト</t>
  </si>
  <si>
    <t>https://saipon.jp/h/fengshui168/</t>
  </si>
  <si>
    <t>LP形式で限定的</t>
  </si>
  <si>
    <t>清潔感がある</t>
  </si>
  <si>
    <t>構成が良好</t>
  </si>
  <si>
    <t>西荻窪 占い 蓮華</t>
  </si>
  <si>
    <t>デザインが古い</t>
  </si>
  <si>
    <t>波動気功 気功 杜の宮</t>
  </si>
  <si>
    <t>活動状況が明確</t>
  </si>
  <si>
    <t>ことほぎの響き</t>
  </si>
  <si>
    <t>https://kotohoginohibiki.com/</t>
  </si>
  <si>
    <t>西荻窪で構成がしっかり</t>
  </si>
  <si>
    <t>http://www.syuon.jp/</t>
  </si>
  <si>
    <t>情報はあるが旧式</t>
  </si>
  <si>
    <t>蓮の香サロン</t>
  </si>
  <si>
    <t>https://renkouan.jimdosite.com/</t>
  </si>
  <si>
    <t>Jimdoで簡易構成</t>
  </si>
  <si>
    <t>Healing Space ORCA</t>
  </si>
  <si>
    <t>https://hs-orca.com/</t>
  </si>
  <si>
    <t>洗練されたサイト</t>
  </si>
  <si>
    <t>よもぎ蒸し皇帝座燻</t>
  </si>
  <si>
    <t>http://www.torast.net/</t>
  </si>
  <si>
    <t>多店舗だが古め</t>
  </si>
  <si>
    <t>プライベートサロン Happy</t>
  </si>
  <si>
    <t>http://www.privatesalon-happy.com/</t>
  </si>
  <si>
    <t>波動気功 杜の宮</t>
  </si>
  <si>
    <t>整体併設だが整っている</t>
  </si>
  <si>
    <t>世界観が伝わる</t>
  </si>
  <si>
    <t>サイトが簡易的</t>
  </si>
  <si>
    <t>現代レイキサポートセンター</t>
  </si>
  <si>
    <t>情報中心で古め</t>
  </si>
  <si>
    <t>優しいデザイン</t>
  </si>
  <si>
    <t>西荻窪 占い 飛鳥</t>
  </si>
  <si>
    <t>老舗だが未整備</t>
  </si>
  <si>
    <t>老舗で構成が良い</t>
  </si>
  <si>
    <t>サイトがやや古め</t>
  </si>
  <si>
    <t>整っている</t>
  </si>
  <si>
    <t>個人サロンで良好</t>
  </si>
  <si>
    <t>公式サイトURL</t>
  </si>
  <si>
    <t>Instagram URL</t>
  </si>
  <si>
    <t>ヒーリングサロン LiebeLiebe</t>
  </si>
  <si>
    <t>https://www.liebeliebe-salon.com/</t>
  </si>
  <si>
    <t>https://www.instagram.com/liebeliebe_salon/</t>
  </si>
  <si>
    <t>ouchi-salon te-n</t>
  </si>
  <si>
    <t>https://te-n.net/</t>
  </si>
  <si>
    <t>https://www.instagram.com/ouchi_salon_ten/</t>
  </si>
  <si>
    <t>ヒーリング整体 KIMON</t>
  </si>
  <si>
    <t>https://healing-kimon.com/</t>
  </si>
  <si>
    <t>ラ・ファーメ</t>
  </si>
  <si>
    <t>https://r.goope.jp/lafemme/</t>
  </si>
  <si>
    <t>サロン花笑む</t>
  </si>
  <si>
    <t>https://hanamsalon.com/</t>
  </si>
  <si>
    <t>https://www.instagram.com/hanasalon_emu/</t>
  </si>
  <si>
    <t>癒やしと学びのサロン 花唄</t>
  </si>
  <si>
    <t>https://hanauta-iroiro.com/</t>
  </si>
  <si>
    <t>https://www.instagram.com/hanauta_iroiro/</t>
  </si>
  <si>
    <t>藤巻治療所</t>
  </si>
  <si>
    <t>https://www.fujimakichiryoujyo.net/reiki/</t>
  </si>
  <si>
    <t>はぴねす</t>
  </si>
  <si>
    <t>魔女☆Maison</t>
  </si>
  <si>
    <t>タロット占い てんぺらんす</t>
  </si>
  <si>
    <t>https://temperance-tarot.com/</t>
  </si>
  <si>
    <t>石神井公園の個人サロンで整っている</t>
  </si>
  <si>
    <t>スピリチュアル・カウンセリング by izumi</t>
  </si>
  <si>
    <t>http://luri.moon.bindcloud.jp/</t>
  </si>
  <si>
    <t>Bindcloud利用でデザインが簡易的</t>
  </si>
  <si>
    <t>練馬駅近くで構成が整っている</t>
  </si>
  <si>
    <t>ヒーリングサロン リーベリーベ</t>
  </si>
  <si>
    <t>ALMA MIYOKO</t>
  </si>
  <si>
    <t>https://www.almamiyoko.com/</t>
  </si>
  <si>
    <t>デザインが整いプロ的</t>
  </si>
  <si>
    <t>甚五郎～自然と生命のエネルギー調整</t>
  </si>
  <si>
    <t>https://jingoro.org/</t>
  </si>
  <si>
    <t>情報が豊富で信頼感</t>
  </si>
  <si>
    <t>aiBloom(アイブルーム)</t>
  </si>
  <si>
    <t>https://t-onehc.com/</t>
  </si>
  <si>
    <t>現代的で構成が整う</t>
  </si>
  <si>
    <t>リラクゼーションエステ＆スクールSoin～ソワン～</t>
  </si>
  <si>
    <t>https://aroma-soin.com/</t>
  </si>
  <si>
    <t>清潔感あるデザイン</t>
  </si>
  <si>
    <t>スピリチュアルサロンsefira</t>
  </si>
  <si>
    <t>https://sefira.jp/</t>
  </si>
  <si>
    <t>アカデミー系で強力</t>
  </si>
  <si>
    <t>占い館 クリスタル</t>
  </si>
  <si>
    <t>http://fortunecrystal.web.fc2.com/</t>
  </si>
  <si>
    <t>デザインが古く見づらい</t>
  </si>
  <si>
    <t>https://www2.hp-ez.com/hp/humming-bear</t>
  </si>
  <si>
    <t>無料HPでデザイン古い</t>
  </si>
  <si>
    <t>アトリエ雑貨カフェHANAPEKO</t>
  </si>
  <si>
    <t>https://r.goope.jp/hanapeko</t>
  </si>
  <si>
    <t>簡易HPで情報が混在</t>
  </si>
  <si>
    <t>占いカウンセリングroomフロンティアspirit</t>
  </si>
  <si>
    <t>https://coubic.com/frontier_spirit</t>
  </si>
  <si>
    <t>予約サイトがメイン</t>
  </si>
  <si>
    <t>沙野光玲の開運占いサロン</t>
  </si>
  <si>
    <t>https://www.ekiten.jp/shop_3160362/</t>
  </si>
  <si>
    <t>ポータルサイトのみ</t>
  </si>
  <si>
    <t>ハッピースピリチュアル！桂子のオフィシャルブログ</t>
  </si>
  <si>
    <t>https://ameblo.jp/happykei0223/</t>
  </si>
  <si>
    <t>ブログがメイン</t>
  </si>
  <si>
    <t>竜子鑑定所</t>
  </si>
  <si>
    <t>http://nttbj.itp.ne.jp/0339035088/</t>
  </si>
  <si>
    <t>URL無効</t>
  </si>
  <si>
    <t>フロンティア占い館 赤羽店</t>
  </si>
  <si>
    <t>https://www.f-uranai.jp/</t>
  </si>
  <si>
    <t>赤羽駅近くで構成が整っている</t>
  </si>
  <si>
    <t>https://ryuko-kantei.com/</t>
  </si>
  <si>
    <t>独自ドメインで実績が明確</t>
  </si>
  <si>
    <t>https://www2.hp-ez.com/hp/humming-bear/</t>
  </si>
  <si>
    <t>無料HPサービス利用でデザインは古め</t>
  </si>
  <si>
    <t>エサレンマッサージ等で構成が整っている</t>
  </si>
  <si>
    <t>スピリチュアルサロン sefira</t>
  </si>
  <si>
    <t>浮間舟渡駅近くで構成が整っている</t>
  </si>
  <si>
    <t>Amrita Rose</t>
  </si>
  <si>
    <t>https://amrita-rose.jimdosite.com/</t>
  </si>
  <si>
    <t>占いサロン 月華</t>
  </si>
  <si>
    <t>https://uranai-gekka.com/</t>
  </si>
  <si>
    <t>占いサロン Corne（コルネ）</t>
  </si>
  <si>
    <t>https://corne-uranai.com/</t>
  </si>
  <si>
    <t>四柱推命占い お台場夢工房</t>
  </si>
  <si>
    <t>https://uranai-yumekoubou.com/</t>
  </si>
  <si>
    <t>https://mizary.com/koto/</t>
  </si>
  <si>
    <t>Aroma&amp;Herb infinity</t>
  </si>
  <si>
    <t>https://aroma-infinity.com/</t>
  </si>
  <si>
    <t>Healing salon mite</t>
  </si>
  <si>
    <t>https://healingsalon-mite.jp/</t>
  </si>
  <si>
    <t>アロマヒーリングサロン ひかりサロン</t>
  </si>
  <si>
    <t>https://www.hikarisalon.com/</t>
  </si>
  <si>
    <t>Florauninect</t>
  </si>
  <si>
    <t>https://www.florauninect.com/</t>
  </si>
  <si>
    <t>Body care salon NOAH</t>
  </si>
  <si>
    <t>https://www.noah-bodycare.com/</t>
  </si>
  <si>
    <t>レイキサロンHeartpeck</t>
  </si>
  <si>
    <t>https://iyashidokorotommy.themedia.jp/</t>
  </si>
  <si>
    <t>lotus-lotus</t>
  </si>
  <si>
    <t>https://lotus-lotus.jimdofree.com/</t>
  </si>
  <si>
    <t>Jimdo無料版でデザイン古い</t>
  </si>
  <si>
    <t>占い佑泉（Wix）</t>
  </si>
  <si>
    <t>https://27fudo.wixsite.com/yusen</t>
  </si>
  <si>
    <t>Wix無料版でデザイン古い</t>
  </si>
  <si>
    <t>占い佑泉（Ownd）</t>
  </si>
  <si>
    <t>https://yuusenkanteiroom.amebaownd.com/</t>
  </si>
  <si>
    <t>ヒーリングゲート</t>
  </si>
  <si>
    <t>http://www.healing-gate.com/</t>
  </si>
  <si>
    <t>未来を創るスピリチュアルセッション＆アート</t>
  </si>
  <si>
    <t>https://kaorimaheki.com/</t>
  </si>
  <si>
    <t>ボディケア整体サロン セオリツライト</t>
  </si>
  <si>
    <t>https://seoritsulight.jimdofree.com/</t>
  </si>
  <si>
    <t>Healing room kirari*plus</t>
  </si>
  <si>
    <t>https://site-1745061-8471-6198.mystrikingly.com/</t>
  </si>
  <si>
    <t>Strikinglyで簡易的</t>
  </si>
  <si>
    <t>東京でヒーリングなら心に向き合う7の部屋</t>
  </si>
  <si>
    <t>https://7room-mms.com/</t>
  </si>
  <si>
    <t>ヒーリング・サロン</t>
  </si>
  <si>
    <t>https://healing-salon.jimdofree.com/</t>
  </si>
  <si>
    <t>アロマと姿勢調整サロン Aromadaya</t>
  </si>
  <si>
    <t>https://aromadaya.com/</t>
  </si>
  <si>
    <t>占いスピリチュアルサロン 天祥</t>
  </si>
  <si>
    <t>https://tensho-uranai.com/</t>
  </si>
  <si>
    <t>アロマセラピーサロン フルール</t>
  </si>
  <si>
    <t>https://www.aromatherapy-fleur.com/</t>
  </si>
  <si>
    <t>Wixだがデザイン良い</t>
  </si>
  <si>
    <t>スピリチュアルサロン Rainbow Prism</t>
  </si>
  <si>
    <t>http://rainbowprism.web.fc2.com/</t>
  </si>
  <si>
    <t>FC2無料HPで古い</t>
  </si>
  <si>
    <t>HinaMana Body &amp; Heart &amp; Awakenig</t>
  </si>
  <si>
    <t>https://hinamana.shopinfo.jp/</t>
  </si>
  <si>
    <t>エリア</t>
  </si>
  <si>
    <t>吉祥寺(スピ系)</t>
  </si>
  <si>
    <t>ハーモニースペース</t>
  </si>
  <si>
    <t>まんまる屋</t>
  </si>
  <si>
    <t>ラインのみ</t>
  </si>
  <si>
    <t>a-humア・ファーム</t>
  </si>
  <si>
    <t>https://ahum-hypno.com/</t>
  </si>
  <si>
    <t>レイキスペースsoleil</t>
  </si>
  <si>
    <t>info@kichijyoji-reiki.com</t>
  </si>
  <si>
    <t>https://kichijyoji-reiki.sakura.ne.jp/</t>
  </si>
  <si>
    <t>https://codepen.io/stjjlreq-the-looper/full/NPrWaJV</t>
  </si>
  <si>
    <t>lakshmi</t>
  </si>
  <si>
    <t>info@aroma-lakshmi.com</t>
  </si>
  <si>
    <t>https://aroma-lakshmi.com/</t>
  </si>
  <si>
    <t>https://codepen.io/stjjlreq-the-looper/full/jErOaar</t>
  </si>
  <si>
    <t>SHIFT by Lenjo</t>
  </si>
  <si>
    <t>問い合わせフォーム</t>
  </si>
  <si>
    <t>https://shiftbylenjo.com/https://codepen.io/stjjlreq-the-looper/full/vEKYWWb</t>
  </si>
  <si>
    <t>https://codepen.io/stjjlreq-the-looper/full/vEKYWWb</t>
  </si>
  <si>
    <t>整体</t>
  </si>
  <si>
    <t>吉祥寺西口の接骨院・はり灸院</t>
  </si>
  <si>
    <t>https://egao-do.com/kichijojinishi/</t>
  </si>
  <si>
    <t>吉祥寺腰痛整体院</t>
  </si>
  <si>
    <t>https://www.kichijoji-seitaiin.com/</t>
  </si>
  <si>
    <t>Healing room ERI</t>
  </si>
  <si>
    <t>https://healingroom-eri.com/</t>
  </si>
  <si>
    <t>https://codepen.io/stjjlreq-the-looper/full/wBWvXMj</t>
  </si>
  <si>
    <t>https://codepen.io/stjjlreq-the-looper/full/OPXJEZo</t>
  </si>
  <si>
    <t>庵寿の小部屋</t>
  </si>
  <si>
    <t>http://anju.cho88.com/</t>
  </si>
  <si>
    <t>https://codepen.io/stjjlreq-the-looper/full/zxBYaaq</t>
  </si>
  <si>
    <t>北千住のリラクゼーションからだRecovery</t>
  </si>
  <si>
    <t>Coppe herbs</t>
  </si>
  <si>
    <t>https://coppeherbshome.hp.peraichi.com/</t>
  </si>
  <si>
    <t>https://codepen.io/stjjlreq-the-looper/full/EayxRpy</t>
  </si>
  <si>
    <t>ponopono</t>
  </si>
  <si>
    <t>https://www.ponopono6363-aloha.com/</t>
  </si>
  <si>
    <t>https://codepen.io/stjjlreq-the-looper/full/emzYKLp</t>
  </si>
  <si>
    <t>healingheartカウンセリングルーム</t>
  </si>
  <si>
    <t>https://healingheart6622.jimdofree.com/</t>
  </si>
  <si>
    <t>https://codepen.io/stjjlreq-the-looper/full/pvboKxz</t>
  </si>
  <si>
    <t>定期施術優遇型CS60施術所</t>
  </si>
  <si>
    <t>https://cs60sowaka.com/</t>
  </si>
  <si>
    <t>https://codepen.io/stjjlreq-the-looper/full/zxBYbPE</t>
  </si>
  <si>
    <t>コロコロステーションそわか</t>
  </si>
  <si>
    <t>お問い合わせフォーム</t>
  </si>
  <si>
    <t>https://codepen.io/stjjlreq-the-looper/full/myEdowv</t>
  </si>
  <si>
    <t>ホリスティックサロン　翡翠とかえる</t>
  </si>
  <si>
    <t>https://hisuitokaeru.crayonsite.net/</t>
  </si>
  <si>
    <t>https://codepen.io/stjjlreq-the-looper/full/OPXJqje</t>
  </si>
  <si>
    <t>Reliease field</t>
  </si>
  <si>
    <t>https://www.reliease-field.com/</t>
  </si>
  <si>
    <t>https://codepen.io/stjjlreq-the-looper/full/EayxMXw</t>
  </si>
  <si>
    <t>Liebe Liebe</t>
  </si>
  <si>
    <t>liebe002@gmail.com</t>
  </si>
  <si>
    <t>https://codepen.io/stjjlreq-the-looper/full/qENBvYK</t>
  </si>
  <si>
    <t>Bright Space</t>
  </si>
  <si>
    <t>reiki1718@gmail.com</t>
  </si>
  <si>
    <t>https://bright-space.jimdofree.com/</t>
  </si>
  <si>
    <t>https://codepen.io/stjjlreq-the-looper/full/OPXJqZL</t>
  </si>
  <si>
    <t>香りの森</t>
  </si>
  <si>
    <t>aroma-forest@messia.com</t>
  </si>
  <si>
    <t>https://messia.com/</t>
  </si>
  <si>
    <t>https://codepen.io/stjjlreq-the-looper/full/vEKYPdv</t>
  </si>
  <si>
    <t>パステルビジョン</t>
  </si>
  <si>
    <t>https://pasutelvision.info/</t>
  </si>
  <si>
    <t>https://codepen.io/stjjlreq-the-looper/full/xbOxBWW</t>
  </si>
  <si>
    <t>https://codepen.io/stjjlreq-the-looper/pen/Byzaqbv</t>
  </si>
  <si>
    <t>杉並区</t>
  </si>
  <si>
    <t>ホーリーワン</t>
  </si>
  <si>
    <t>https://holyone369.com/</t>
  </si>
  <si>
    <t>rejina.ai.1100@gmail.com</t>
  </si>
  <si>
    <t>リラクゼーションサロンCitrus</t>
  </si>
  <si>
    <t>http://aromaroomcitrus.jp/</t>
  </si>
  <si>
    <t>デザインが古く情報が少なく構成が弱い</t>
  </si>
  <si>
    <t>アストロウィッチセラピーリブラ</t>
  </si>
  <si>
    <t>https://librarelaxationroom.wixsite.com/libra</t>
  </si>
  <si>
    <t>Wixの無料テンプレートでデザインが弱い</t>
  </si>
  <si>
    <t>東中野心理相談室</t>
  </si>
  <si>
    <t>https://www.higashinakano-shinrisoudan.com/</t>
  </si>
  <si>
    <t>Wixテンプレートでデザインが弱く情報が整理されていない</t>
  </si>
  <si>
    <t>心理相談室セラペイア</t>
  </si>
  <si>
    <t>https://www.therapeia.jp/</t>
  </si>
  <si>
    <t>2014年頃の古いデザインでブログ形式の構成が整理されていない</t>
  </si>
  <si>
    <t>カウンセリングルームRE</t>
  </si>
  <si>
    <t>https://office-tkm.co.jp/</t>
  </si>
  <si>
    <t>デザインは比較的新しいが情報がテキスト中心で構成が硬い</t>
  </si>
  <si>
    <t>汐見カウンセリングオフィス</t>
  </si>
  <si>
    <t>https://www.shiomi-counseling.jp/</t>
  </si>
  <si>
    <t>情報量は多いがデザインが古く全体的に硬い印象</t>
  </si>
  <si>
    <t>Beauty Lounge JUNE</t>
  </si>
  <si>
    <t>https://beautyloungejune.wixsite.com/june/touch-healing</t>
  </si>
  <si>
    <t>Wixの無料テンプレートで構成が弱い</t>
  </si>
  <si>
    <t>サイト全体が古く情報が整理されていない</t>
  </si>
  <si>
    <t>メンタルケアサロン心の翼 馬込店</t>
  </si>
  <si>
    <t>https://kokoronotsubasa-magome.com/</t>
  </si>
  <si>
    <t>デザインが古く装飾が多くて見づらい</t>
  </si>
  <si>
    <t>Heart＆Body</t>
  </si>
  <si>
    <t>https://heartbody.net/</t>
  </si>
  <si>
    <t>ブログ形式で情報が埋もれておりデザインが弱い</t>
  </si>
  <si>
    <t>Rikott</t>
  </si>
  <si>
    <t>https://www.eiseinetwork.com/rikott/</t>
  </si>
  <si>
    <t>簡易的なデザインで情報が少なく構成が弱い</t>
  </si>
  <si>
    <t>Love Light 癒やしサロン蓮</t>
  </si>
  <si>
    <t>https://lovelight0207.com/</t>
  </si>
  <si>
    <t>縦長で情報過多かつデザインが統一されておらず見づらい</t>
  </si>
  <si>
    <t>Sparkling Self（スパークリングセルフ）</t>
  </si>
  <si>
    <t>https://sparklingself333.wixsite.com/my-site/treatments</t>
  </si>
  <si>
    <t>Aromatherapy salon碧のしずく</t>
  </si>
  <si>
    <t>https://aonosizuku.snapsalon.jp/</t>
  </si>
  <si>
    <t>Snapsalonテンプレートで情報が分散している</t>
  </si>
  <si>
    <t>腸もみ整体プライベートサロン桜の間</t>
  </si>
  <si>
    <t>https://benpikaishosalon.wordpress.com/</t>
  </si>
  <si>
    <t>WordPress.com無料ブログでデザインが簡易的</t>
  </si>
  <si>
    <t>カウンセリングルームたま</t>
  </si>
  <si>
    <t>https://www.coroom.tokyo/</t>
  </si>
  <si>
    <t>Jimdo無料版でデザインが古く構成が弱い</t>
  </si>
  <si>
    <t>東京南大沢ヒーリングサロンYURURI</t>
  </si>
  <si>
    <t>https://yururi2020.jimdofree.com/</t>
  </si>
  <si>
    <t>はこにわサロン東京</t>
  </si>
  <si>
    <t>https://hakoniwasalon.com/</t>
  </si>
  <si>
    <t>デザインが古く情報が整理されていない</t>
  </si>
  <si>
    <t>Healing glows</t>
  </si>
  <si>
    <t>https://hot-mayma-healer.com/</t>
  </si>
  <si>
    <t>ほけんしつ</t>
  </si>
  <si>
    <t>https://hoken-shitsu.com/</t>
  </si>
  <si>
    <t>東京小平の癒し空間 自宅サロンlemongrass/レモングラス</t>
  </si>
  <si>
    <t>https://lemongrass-salon.com/</t>
  </si>
  <si>
    <t>きもちサロン</t>
  </si>
  <si>
    <t>https://www.kimochi-salon222.com/</t>
  </si>
  <si>
    <t>kokoururu8</t>
  </si>
  <si>
    <t>https://kokoururu8.jimdofree.com/</t>
  </si>
  <si>
    <t>Jimdo無料版でデザインが弱い</t>
  </si>
  <si>
    <t>fumiamie</t>
  </si>
  <si>
    <t>https://fumiamie.jimdofree.com/</t>
  </si>
  <si>
    <t>jutolycaroma</t>
  </si>
  <si>
    <t>https://jutolycaroma.jimdofree.com/</t>
  </si>
  <si>
    <t>kewarra-bodyhealing</t>
  </si>
  <si>
    <t>awoke</t>
  </si>
  <si>
    <t>http://awoke.jimdo.com/</t>
  </si>
  <si>
    <t>sinsindo</t>
  </si>
  <si>
    <t>https://bosan32000.wixsite.com/sinsindo/%E8%A4%87%E8%A3%BD-%E5%80%8B%E4%BA%BA%EF%BD%BE%EF%BD%AF%EF%BD%BC%EF%BD%AE%EF%BE%9D</t>
  </si>
  <si>
    <t>Wix無料版でデザインが弱い</t>
  </si>
  <si>
    <t>Uplift Journey</t>
  </si>
  <si>
    <t>https://heartliftup.amebaownd.com/</t>
  </si>
  <si>
    <t>Ameba Owndでデザインが弱い</t>
  </si>
  <si>
    <t>こころとからだの相談室 ほっと</t>
  </si>
  <si>
    <t>https://kokorotokaradanosoudansitsu.jimdofree.com/</t>
  </si>
  <si>
    <t>ミディアム山影青生（青い三角通信）</t>
  </si>
  <si>
    <t>https://a3kaku.jimdofree.com/</t>
  </si>
  <si>
    <t>オンラインヨーガセラピーと気功（氣幸）ヒーリング</t>
  </si>
  <si>
    <t>https://mimiyogasmile.jimdoweb.com/</t>
  </si>
  <si>
    <t>Jimdo無料版でデザインが古く情報が過多</t>
  </si>
  <si>
    <t>スピリチュアルヒーリングサロンSHANTI</t>
  </si>
  <si>
    <t>https://shanti8.jimdofree.com/</t>
  </si>
  <si>
    <t>Jimdo無料版でデザインが古く情報が整理されていない</t>
  </si>
  <si>
    <t>チャネリングCafe 南澤のりこ</t>
  </si>
  <si>
    <t>https://www.channeling-cafe.com/</t>
  </si>
  <si>
    <t>あさごや</t>
  </si>
  <si>
    <t>https://www.asagoya.net/</t>
  </si>
  <si>
    <t>古民家風でコンセプトは良いがWebサイトが簡易的で構成が弱い</t>
  </si>
  <si>
    <t>スピリチュアルエステサロン『ラ・ファーメ』</t>
  </si>
  <si>
    <t>無料HPサービスでデザインが弱い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</si>
</sst>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Arial"/>
    </font>
    <font>
      <u/>
      <color rgb="FF0000FF"/>
    </font>
    <font>
      <u/>
      <sz val="11.0"/>
      <color rgb="FF000000"/>
      <name val="Arial"/>
    </font>
    <font>
      <u/>
      <color rgb="FF0000FF"/>
    </font>
    <font>
      <b/>
      <sz val="11.0"/>
      <color rgb="FF222222"/>
      <name val="&quot;Google Sans&quot;"/>
    </font>
    <font>
      <sz val="11.0"/>
      <color theme="1"/>
      <name val="Arial"/>
    </font>
    <font>
      <color rgb="FF000000"/>
      <name val="Arial"/>
      <scheme val="minor"/>
    </font>
    <font>
      <u/>
      <sz val="11.0"/>
      <color rgb="FF0000FF"/>
      <name val="Arial"/>
    </font>
    <font>
      <u/>
      <color rgb="FF0000FF"/>
    </font>
    <font>
      <color rgb="FF252525"/>
      <name val="&quot;Lucida Sans Unicode&quot;"/>
    </font>
    <font>
      <sz val="12.0"/>
      <color rgb="FF05161A"/>
      <name val="IwaUDRGoPro-Md"/>
    </font>
    <font>
      <sz val="12.0"/>
      <color rgb="FF05161A"/>
      <name val="Arial"/>
    </font>
    <font>
      <sz val="12.0"/>
      <color rgb="FF34322D"/>
      <name val="Arial"/>
    </font>
    <font>
      <u/>
      <sz val="12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8E5F8"/>
        <bgColor rgb="FFD8E5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2" fontId="1" numFmtId="0" xfId="0" applyFill="1" applyFont="1"/>
    <xf borderId="0" fillId="0" fontId="6" numFmtId="0" xfId="0" applyAlignment="1" applyFont="1">
      <alignment readingOrder="0"/>
    </xf>
    <xf borderId="0" fillId="3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3" numFmtId="0" xfId="0" applyFont="1"/>
    <xf borderId="0" fillId="0" fontId="11" numFmtId="0" xfId="0" applyAlignment="1" applyFont="1">
      <alignment readingOrder="0"/>
    </xf>
    <xf borderId="0" fillId="0" fontId="1" numFmtId="0" xfId="0" applyAlignment="1" applyFont="1">
      <alignment readingOrder="0"/>
    </xf>
    <xf borderId="0" fillId="4" fontId="12" numFmtId="0" xfId="0" applyAlignment="1" applyFill="1" applyFont="1">
      <alignment readingOrder="0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horizontal="left"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5" numFmtId="0" xfId="0" applyFont="1"/>
  </cellXfs>
  <cellStyles count="1">
    <cellStyle xfId="0" name="Normal" builtinId="0"/>
  </cellStyles>
  <dxfs count="1"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kimotostudio21.netlify.app/0219/" TargetMode="External"/><Relationship Id="rId190" Type="http://schemas.openxmlformats.org/officeDocument/2006/relationships/hyperlink" Target="https://kimotostudio21.netlify.app/0297/" TargetMode="External"/><Relationship Id="rId42" Type="http://schemas.openxmlformats.org/officeDocument/2006/relationships/hyperlink" Target="https://kimotostudio21.netlify.app/0220/" TargetMode="External"/><Relationship Id="rId41" Type="http://schemas.openxmlformats.org/officeDocument/2006/relationships/hyperlink" Target="https://renge-uranai.com/" TargetMode="External"/><Relationship Id="rId44" Type="http://schemas.openxmlformats.org/officeDocument/2006/relationships/hyperlink" Target="https://kimotostudio21.netlify.app/0221/" TargetMode="External"/><Relationship Id="rId194" Type="http://schemas.openxmlformats.org/officeDocument/2006/relationships/hyperlink" Target="https://r.goope.jp/lafemme/" TargetMode="External"/><Relationship Id="rId43" Type="http://schemas.openxmlformats.org/officeDocument/2006/relationships/hyperlink" Target="http://www.syuon.jp/" TargetMode="External"/><Relationship Id="rId193" Type="http://schemas.openxmlformats.org/officeDocument/2006/relationships/hyperlink" Target="https://kimotostudio21.netlify.app/0299/" TargetMode="External"/><Relationship Id="rId46" Type="http://schemas.openxmlformats.org/officeDocument/2006/relationships/hyperlink" Target="https://kimotostudio21.netlify.app/0222/" TargetMode="External"/><Relationship Id="rId192" Type="http://schemas.openxmlformats.org/officeDocument/2006/relationships/hyperlink" Target="https://healing-kimon.com/" TargetMode="External"/><Relationship Id="rId45" Type="http://schemas.openxmlformats.org/officeDocument/2006/relationships/hyperlink" Target="https://renkouan.jimdosite.com/" TargetMode="External"/><Relationship Id="rId191" Type="http://schemas.openxmlformats.org/officeDocument/2006/relationships/hyperlink" Target="https://kimotostudio21.netlify.app/0298/" TargetMode="External"/><Relationship Id="rId48" Type="http://schemas.openxmlformats.org/officeDocument/2006/relationships/hyperlink" Target="https://kimotostudio21.netlify.app/0223/" TargetMode="External"/><Relationship Id="rId187" Type="http://schemas.openxmlformats.org/officeDocument/2006/relationships/hyperlink" Target="https://kimotostudio21.netlify.app/0295/" TargetMode="External"/><Relationship Id="rId47" Type="http://schemas.openxmlformats.org/officeDocument/2006/relationships/hyperlink" Target="http://www.torast.net/" TargetMode="External"/><Relationship Id="rId186" Type="http://schemas.openxmlformats.org/officeDocument/2006/relationships/hyperlink" Target="https://feeloasis2.sakura.ne.jp/" TargetMode="External"/><Relationship Id="rId185" Type="http://schemas.openxmlformats.org/officeDocument/2006/relationships/hyperlink" Target="https://kimotostudio21.netlify.app/0294/" TargetMode="External"/><Relationship Id="rId49" Type="http://schemas.openxmlformats.org/officeDocument/2006/relationships/hyperlink" Target="https://renge-uranai.com/" TargetMode="External"/><Relationship Id="rId184" Type="http://schemas.openxmlformats.org/officeDocument/2006/relationships/hyperlink" Target="https://pokapoka-place.jimdosite.com/" TargetMode="External"/><Relationship Id="rId189" Type="http://schemas.openxmlformats.org/officeDocument/2006/relationships/hyperlink" Target="https://kimotostudio21.netlify.app/0296/" TargetMode="External"/><Relationship Id="rId188" Type="http://schemas.openxmlformats.org/officeDocument/2006/relationships/hyperlink" Target="https://bibifortunetelling.stores.jp/" TargetMode="External"/><Relationship Id="rId31" Type="http://schemas.openxmlformats.org/officeDocument/2006/relationships/hyperlink" Target="https://mahorobafussa.crayonsite.com/" TargetMode="External"/><Relationship Id="rId30" Type="http://schemas.openxmlformats.org/officeDocument/2006/relationships/hyperlink" Target="https://kimotostudio21.netlify.app/0214/" TargetMode="External"/><Relationship Id="rId33" Type="http://schemas.openxmlformats.org/officeDocument/2006/relationships/hyperlink" Target="https://lotus-reiki.amebaownd.com/" TargetMode="External"/><Relationship Id="rId183" Type="http://schemas.openxmlformats.org/officeDocument/2006/relationships/hyperlink" Target="https://kimotostudio21.netlify.app/0293/" TargetMode="External"/><Relationship Id="rId32" Type="http://schemas.openxmlformats.org/officeDocument/2006/relationships/hyperlink" Target="https://kimotostudio21.netlify.app/0215/" TargetMode="External"/><Relationship Id="rId182" Type="http://schemas.openxmlformats.org/officeDocument/2006/relationships/hyperlink" Target="https://yuran-healing.jimdofree.com/" TargetMode="External"/><Relationship Id="rId35" Type="http://schemas.openxmlformats.org/officeDocument/2006/relationships/hyperlink" Target="https://salonsorairo.wixsite.com/salonsorairo/" TargetMode="External"/><Relationship Id="rId181" Type="http://schemas.openxmlformats.org/officeDocument/2006/relationships/hyperlink" Target="https://kimotostudio21.netlify.app/0292/" TargetMode="External"/><Relationship Id="rId34" Type="http://schemas.openxmlformats.org/officeDocument/2006/relationships/hyperlink" Target="https://kimotostudio21.netlify.app/0216/" TargetMode="External"/><Relationship Id="rId180" Type="http://schemas.openxmlformats.org/officeDocument/2006/relationships/hyperlink" Target="https://angel-playground.jimdosite.com/" TargetMode="External"/><Relationship Id="rId37" Type="http://schemas.openxmlformats.org/officeDocument/2006/relationships/hyperlink" Target="https://healing-atelier.jimdofree.com/" TargetMode="External"/><Relationship Id="rId176" Type="http://schemas.openxmlformats.org/officeDocument/2006/relationships/hyperlink" Target="https://8nefer8.jimdofree.com/" TargetMode="External"/><Relationship Id="rId36" Type="http://schemas.openxmlformats.org/officeDocument/2006/relationships/hyperlink" Target="https://kimotostudio21.netlify.app/0217/" TargetMode="External"/><Relationship Id="rId175" Type="http://schemas.openxmlformats.org/officeDocument/2006/relationships/hyperlink" Target="https://kimotostudio21.netlify.app/0289/" TargetMode="External"/><Relationship Id="rId39" Type="http://schemas.openxmlformats.org/officeDocument/2006/relationships/hyperlink" Target="https://saipon.jp/h/fengshui168/" TargetMode="External"/><Relationship Id="rId174" Type="http://schemas.openxmlformats.org/officeDocument/2006/relationships/hyperlink" Target="https://ameblo.jp/agehaseira/" TargetMode="External"/><Relationship Id="rId38" Type="http://schemas.openxmlformats.org/officeDocument/2006/relationships/hyperlink" Target="https://kimotostudio21.netlify.app/0218/" TargetMode="External"/><Relationship Id="rId173" Type="http://schemas.openxmlformats.org/officeDocument/2006/relationships/hyperlink" Target="https://kimotostudio21.netlify.app/0288/" TargetMode="External"/><Relationship Id="rId179" Type="http://schemas.openxmlformats.org/officeDocument/2006/relationships/hyperlink" Target="https://kimotostudio21.netlify.app/0291/" TargetMode="External"/><Relationship Id="rId178" Type="http://schemas.openxmlformats.org/officeDocument/2006/relationships/hyperlink" Target="https://ameblo.jp/hummingbeartenka/" TargetMode="External"/><Relationship Id="rId177" Type="http://schemas.openxmlformats.org/officeDocument/2006/relationships/hyperlink" Target="https://kimotostudio21.netlify.app/0290/" TargetMode="External"/><Relationship Id="rId20" Type="http://schemas.openxmlformats.org/officeDocument/2006/relationships/hyperlink" Target="https://kimotostudio21.netlify.app/0209/" TargetMode="External"/><Relationship Id="rId22" Type="http://schemas.openxmlformats.org/officeDocument/2006/relationships/hyperlink" Target="https://kimotostudio21.netlify.app/0210/" TargetMode="External"/><Relationship Id="rId21" Type="http://schemas.openxmlformats.org/officeDocument/2006/relationships/hyperlink" Target="https://heryasagaya.amebaownd.com/" TargetMode="External"/><Relationship Id="rId24" Type="http://schemas.openxmlformats.org/officeDocument/2006/relationships/hyperlink" Target="https://kimotostudio21.netlify.app/0211/" TargetMode="External"/><Relationship Id="rId23" Type="http://schemas.openxmlformats.org/officeDocument/2006/relationships/hyperlink" Target="https://la-venus.jp/" TargetMode="External"/><Relationship Id="rId26" Type="http://schemas.openxmlformats.org/officeDocument/2006/relationships/hyperlink" Target="https://kimotostudio21.netlify.app/0212/" TargetMode="External"/><Relationship Id="rId25" Type="http://schemas.openxmlformats.org/officeDocument/2006/relationships/hyperlink" Target="https://www.bodymindspirit.co.jp/" TargetMode="External"/><Relationship Id="rId28" Type="http://schemas.openxmlformats.org/officeDocument/2006/relationships/hyperlink" Target="https://kimotostudio21.netlify.app/0213/" TargetMode="External"/><Relationship Id="rId27" Type="http://schemas.openxmlformats.org/officeDocument/2006/relationships/hyperlink" Target="https://www.nishitani-newyork.com/" TargetMode="External"/><Relationship Id="rId29" Type="http://schemas.openxmlformats.org/officeDocument/2006/relationships/hyperlink" Target="https://mahina.pupu.jp/" TargetMode="External"/><Relationship Id="rId11" Type="http://schemas.openxmlformats.org/officeDocument/2006/relationships/hyperlink" Target="https://coubic.com/snowdrops_reiki" TargetMode="External"/><Relationship Id="rId10" Type="http://schemas.openxmlformats.org/officeDocument/2006/relationships/hyperlink" Target="https://kimotostudio21.netlify.app/0204/" TargetMode="External"/><Relationship Id="rId13" Type="http://schemas.openxmlformats.org/officeDocument/2006/relationships/hyperlink" Target="https://www.refine-web.com/" TargetMode="External"/><Relationship Id="rId12" Type="http://schemas.openxmlformats.org/officeDocument/2006/relationships/hyperlink" Target="https://kimotostudio21.netlify.app/0205/" TargetMode="External"/><Relationship Id="rId15" Type="http://schemas.openxmlformats.org/officeDocument/2006/relationships/hyperlink" Target="https://aroma108studio.amebaownd.com/" TargetMode="External"/><Relationship Id="rId198" Type="http://schemas.openxmlformats.org/officeDocument/2006/relationships/hyperlink" Target="https://tenryukan.com/" TargetMode="External"/><Relationship Id="rId14" Type="http://schemas.openxmlformats.org/officeDocument/2006/relationships/hyperlink" Target="https://kimotostudio21.netlify.app/0206/" TargetMode="External"/><Relationship Id="rId197" Type="http://schemas.openxmlformats.org/officeDocument/2006/relationships/hyperlink" Target="https://kimotostudio21.netlify.app/0301/" TargetMode="External"/><Relationship Id="rId17" Type="http://schemas.openxmlformats.org/officeDocument/2006/relationships/hyperlink" Target="http://www.rouxsroom.com/" TargetMode="External"/><Relationship Id="rId196" Type="http://schemas.openxmlformats.org/officeDocument/2006/relationships/hyperlink" Target="https://www.fujimakichiryoujyo.net/reiki/" TargetMode="External"/><Relationship Id="rId16" Type="http://schemas.openxmlformats.org/officeDocument/2006/relationships/hyperlink" Target="https://kimotostudio21.netlify.app/0207/" TargetMode="External"/><Relationship Id="rId195" Type="http://schemas.openxmlformats.org/officeDocument/2006/relationships/hyperlink" Target="https://kimotostudio21.netlify.app/0300/" TargetMode="External"/><Relationship Id="rId19" Type="http://schemas.openxmlformats.org/officeDocument/2006/relationships/hyperlink" Target="https://www.healing-medium.jp/" TargetMode="External"/><Relationship Id="rId18" Type="http://schemas.openxmlformats.org/officeDocument/2006/relationships/hyperlink" Target="https://kimotostudio21.netlify.app/0208/" TargetMode="External"/><Relationship Id="rId199" Type="http://schemas.openxmlformats.org/officeDocument/2006/relationships/hyperlink" Target="https://kimotostudio21.netlify.app/0302/" TargetMode="External"/><Relationship Id="rId84" Type="http://schemas.openxmlformats.org/officeDocument/2006/relationships/hyperlink" Target="https://kimotostudio21.netlify.app/0242/" TargetMode="External"/><Relationship Id="rId83" Type="http://schemas.openxmlformats.org/officeDocument/2006/relationships/hyperlink" Target="https://chisa-healing.storeinfo.jp/" TargetMode="External"/><Relationship Id="rId86" Type="http://schemas.openxmlformats.org/officeDocument/2006/relationships/hyperlink" Target="https://kimotostudio21.netlify.app/0243/" TargetMode="External"/><Relationship Id="rId85" Type="http://schemas.openxmlformats.org/officeDocument/2006/relationships/hyperlink" Target="https://select-type.com/s/sehinoa" TargetMode="External"/><Relationship Id="rId88" Type="http://schemas.openxmlformats.org/officeDocument/2006/relationships/hyperlink" Target="https://kimotostudio21.netlify.app/0244/" TargetMode="External"/><Relationship Id="rId150" Type="http://schemas.openxmlformats.org/officeDocument/2006/relationships/hyperlink" Target="https://iyashinomori-ogikubo.com/" TargetMode="External"/><Relationship Id="rId271" Type="http://schemas.openxmlformats.org/officeDocument/2006/relationships/hyperlink" Target="https://feeloasis2.sakura.ne.jp/" TargetMode="External"/><Relationship Id="rId87" Type="http://schemas.openxmlformats.org/officeDocument/2006/relationships/hyperlink" Target="https://bibifortunetelling.stores.jp/" TargetMode="External"/><Relationship Id="rId270" Type="http://schemas.openxmlformats.org/officeDocument/2006/relationships/hyperlink" Target="https://kimotostudio21.netlify.app/0339/" TargetMode="External"/><Relationship Id="rId89" Type="http://schemas.openxmlformats.org/officeDocument/2006/relationships/hyperlink" Target="https://renge-uranai.com/" TargetMode="External"/><Relationship Id="rId80" Type="http://schemas.openxmlformats.org/officeDocument/2006/relationships/hyperlink" Target="https://kimotostudio21.netlify.app/0240/" TargetMode="External"/><Relationship Id="rId82" Type="http://schemas.openxmlformats.org/officeDocument/2006/relationships/hyperlink" Target="https://kimotostudio21.netlify.app/0241/" TargetMode="External"/><Relationship Id="rId81" Type="http://schemas.openxmlformats.org/officeDocument/2006/relationships/hyperlink" Target="https://charites3.amebaownd.com/" TargetMode="External"/><Relationship Id="rId1" Type="http://schemas.openxmlformats.org/officeDocument/2006/relationships/hyperlink" Target="https://www.rouxsroom.com/" TargetMode="External"/><Relationship Id="rId2" Type="http://schemas.openxmlformats.org/officeDocument/2006/relationships/hyperlink" Target="https://kimotostudio21.netlify.app/0200/" TargetMode="External"/><Relationship Id="rId3" Type="http://schemas.openxmlformats.org/officeDocument/2006/relationships/hyperlink" Target="https://www.ensen-ado.com/la_mano/" TargetMode="External"/><Relationship Id="rId149" Type="http://schemas.openxmlformats.org/officeDocument/2006/relationships/hyperlink" Target="https://kimotostudio21.netlify.app/0275/" TargetMode="External"/><Relationship Id="rId4" Type="http://schemas.openxmlformats.org/officeDocument/2006/relationships/hyperlink" Target="https://kimotostudio21.netlify.app/0201/" TargetMode="External"/><Relationship Id="rId148" Type="http://schemas.openxmlformats.org/officeDocument/2006/relationships/hyperlink" Target="https://tenryukan.com/" TargetMode="External"/><Relationship Id="rId269" Type="http://schemas.openxmlformats.org/officeDocument/2006/relationships/hyperlink" Target="https://iyashinomori-ogikubo.com/" TargetMode="External"/><Relationship Id="rId9" Type="http://schemas.openxmlformats.org/officeDocument/2006/relationships/hyperlink" Target="https://lotus-reiki.amebaownd.com/" TargetMode="External"/><Relationship Id="rId143" Type="http://schemas.openxmlformats.org/officeDocument/2006/relationships/hyperlink" Target="https://kimotostudio21.netlify.app/0272/" TargetMode="External"/><Relationship Id="rId264" Type="http://schemas.openxmlformats.org/officeDocument/2006/relationships/hyperlink" Target="https://kimotostudio21.netlify.app/0336/" TargetMode="External"/><Relationship Id="rId142" Type="http://schemas.openxmlformats.org/officeDocument/2006/relationships/hyperlink" Target="https://select-type.com/s/sehinoa" TargetMode="External"/><Relationship Id="rId263" Type="http://schemas.openxmlformats.org/officeDocument/2006/relationships/hyperlink" Target="https://kimotostudio21.netlify.app/0335/" TargetMode="External"/><Relationship Id="rId141" Type="http://schemas.openxmlformats.org/officeDocument/2006/relationships/hyperlink" Target="https://kimotostudio21.netlify.app/0271/" TargetMode="External"/><Relationship Id="rId262" Type="http://schemas.openxmlformats.org/officeDocument/2006/relationships/hyperlink" Target="https://select-type.com/s/sehinoa" TargetMode="External"/><Relationship Id="rId140" Type="http://schemas.openxmlformats.org/officeDocument/2006/relationships/hyperlink" Target="https://bibifortunetelling.stores.jp/" TargetMode="External"/><Relationship Id="rId261" Type="http://schemas.openxmlformats.org/officeDocument/2006/relationships/hyperlink" Target="https://kimotostudio21.netlify.app/0334/" TargetMode="External"/><Relationship Id="rId5" Type="http://schemas.openxmlformats.org/officeDocument/2006/relationships/hyperlink" Target="https://reserva.be/sorairo" TargetMode="External"/><Relationship Id="rId147" Type="http://schemas.openxmlformats.org/officeDocument/2006/relationships/hyperlink" Target="https://kimotostudio21.netlify.app/0274/" TargetMode="External"/><Relationship Id="rId268" Type="http://schemas.openxmlformats.org/officeDocument/2006/relationships/hyperlink" Target="https://kimotostudio21.netlify.app/0338/" TargetMode="External"/><Relationship Id="rId6" Type="http://schemas.openxmlformats.org/officeDocument/2006/relationships/hyperlink" Target="https://kimotostudio21.netlify.app/0202/" TargetMode="External"/><Relationship Id="rId146" Type="http://schemas.openxmlformats.org/officeDocument/2006/relationships/hyperlink" Target="https://www2.hp-ez.com/hp/humming-bear/" TargetMode="External"/><Relationship Id="rId267" Type="http://schemas.openxmlformats.org/officeDocument/2006/relationships/hyperlink" Target="https://tenryukan.com/" TargetMode="External"/><Relationship Id="rId7" Type="http://schemas.openxmlformats.org/officeDocument/2006/relationships/hyperlink" Target="http://syuon.jp/" TargetMode="External"/><Relationship Id="rId145" Type="http://schemas.openxmlformats.org/officeDocument/2006/relationships/hyperlink" Target="https://kimotostudio21.netlify.app/0273/" TargetMode="External"/><Relationship Id="rId266" Type="http://schemas.openxmlformats.org/officeDocument/2006/relationships/hyperlink" Target="https://kimotostudio21.netlify.app/0337/" TargetMode="External"/><Relationship Id="rId8" Type="http://schemas.openxmlformats.org/officeDocument/2006/relationships/hyperlink" Target="https://kimotostudio21.netlify.app/0203/" TargetMode="External"/><Relationship Id="rId144" Type="http://schemas.openxmlformats.org/officeDocument/2006/relationships/hyperlink" Target="https://amrita-rose.jimdosite.com/" TargetMode="External"/><Relationship Id="rId265" Type="http://schemas.openxmlformats.org/officeDocument/2006/relationships/hyperlink" Target="https://www.houka-k.com/" TargetMode="External"/><Relationship Id="rId73" Type="http://schemas.openxmlformats.org/officeDocument/2006/relationships/hyperlink" Target="https://seminar-lesson.com/" TargetMode="External"/><Relationship Id="rId72" Type="http://schemas.openxmlformats.org/officeDocument/2006/relationships/hyperlink" Target="https://kimotostudio21.netlify.app/0236/" TargetMode="External"/><Relationship Id="rId75" Type="http://schemas.openxmlformats.org/officeDocument/2006/relationships/hyperlink" Target="https://chisa-healing.storeinfo.jp/" TargetMode="External"/><Relationship Id="rId74" Type="http://schemas.openxmlformats.org/officeDocument/2006/relationships/hyperlink" Target="https://kimotostudio21.netlify.app/0237/" TargetMode="External"/><Relationship Id="rId77" Type="http://schemas.openxmlformats.org/officeDocument/2006/relationships/hyperlink" Target="https://imagine.whereabouts.jp/" TargetMode="External"/><Relationship Id="rId260" Type="http://schemas.openxmlformats.org/officeDocument/2006/relationships/hyperlink" Target="https://bibifortunetelling.stores.jp/" TargetMode="External"/><Relationship Id="rId76" Type="http://schemas.openxmlformats.org/officeDocument/2006/relationships/hyperlink" Target="https://kimotostudio21.netlify.app/0238/" TargetMode="External"/><Relationship Id="rId79" Type="http://schemas.openxmlformats.org/officeDocument/2006/relationships/hyperlink" Target="https://feeloasis2.sakura.ne.jp/profile.html" TargetMode="External"/><Relationship Id="rId78" Type="http://schemas.openxmlformats.org/officeDocument/2006/relationships/hyperlink" Target="https://kimotostudio21.netlify.app/0239/" TargetMode="External"/><Relationship Id="rId71" Type="http://schemas.openxmlformats.org/officeDocument/2006/relationships/hyperlink" Target="https://salon-luminica.com/" TargetMode="External"/><Relationship Id="rId70" Type="http://schemas.openxmlformats.org/officeDocument/2006/relationships/hyperlink" Target="https://kimotostudio21.netlify.app/0235/" TargetMode="External"/><Relationship Id="rId139" Type="http://schemas.openxmlformats.org/officeDocument/2006/relationships/hyperlink" Target="https://kimotostudio21.netlify.app/0270/" TargetMode="External"/><Relationship Id="rId138" Type="http://schemas.openxmlformats.org/officeDocument/2006/relationships/hyperlink" Target="https://feeloasis2.sakura.ne.jp/" TargetMode="External"/><Relationship Id="rId259" Type="http://schemas.openxmlformats.org/officeDocument/2006/relationships/hyperlink" Target="https://kimotostudio21.netlify.app/0333/" TargetMode="External"/><Relationship Id="rId137" Type="http://schemas.openxmlformats.org/officeDocument/2006/relationships/hyperlink" Target="https://kimotostudio21.netlify.app/0269/" TargetMode="External"/><Relationship Id="rId258" Type="http://schemas.openxmlformats.org/officeDocument/2006/relationships/hyperlink" Target="https://feeloasis2.sakura.ne.jp/" TargetMode="External"/><Relationship Id="rId132" Type="http://schemas.openxmlformats.org/officeDocument/2006/relationships/hyperlink" Target="https://www2.hp-ez.com/hp/humming-bear/" TargetMode="External"/><Relationship Id="rId253" Type="http://schemas.openxmlformats.org/officeDocument/2006/relationships/hyperlink" Target="https://kimotostudio21.netlify.app/0330/" TargetMode="External"/><Relationship Id="rId131" Type="http://schemas.openxmlformats.org/officeDocument/2006/relationships/hyperlink" Target="https://kimotostudio21.netlify.app/0266/" TargetMode="External"/><Relationship Id="rId252" Type="http://schemas.openxmlformats.org/officeDocument/2006/relationships/hyperlink" Target="https://feeloasis2.sakura.ne.jp/" TargetMode="External"/><Relationship Id="rId130" Type="http://schemas.openxmlformats.org/officeDocument/2006/relationships/hyperlink" Target="https://r.goope.jp/hanapeko" TargetMode="External"/><Relationship Id="rId251" Type="http://schemas.openxmlformats.org/officeDocument/2006/relationships/hyperlink" Target="https://kimotostudio21.netlify.app/0329/" TargetMode="External"/><Relationship Id="rId250" Type="http://schemas.openxmlformats.org/officeDocument/2006/relationships/hyperlink" Target="https://iyashinomori-ogikubo.com/" TargetMode="External"/><Relationship Id="rId136" Type="http://schemas.openxmlformats.org/officeDocument/2006/relationships/hyperlink" Target="https://iyashinomori-ogikubo.com/" TargetMode="External"/><Relationship Id="rId257" Type="http://schemas.openxmlformats.org/officeDocument/2006/relationships/hyperlink" Target="https://kimotostudio21.netlify.app/0332/" TargetMode="External"/><Relationship Id="rId135" Type="http://schemas.openxmlformats.org/officeDocument/2006/relationships/hyperlink" Target="https://kimotostudio21.netlify.app/0268/" TargetMode="External"/><Relationship Id="rId256" Type="http://schemas.openxmlformats.org/officeDocument/2006/relationships/hyperlink" Target="https://select-type.com/s/sehinoa" TargetMode="External"/><Relationship Id="rId134" Type="http://schemas.openxmlformats.org/officeDocument/2006/relationships/hyperlink" Target="https://tenryukan.com/" TargetMode="External"/><Relationship Id="rId255" Type="http://schemas.openxmlformats.org/officeDocument/2006/relationships/hyperlink" Target="https://kimotostudio21.netlify.app/0331/" TargetMode="External"/><Relationship Id="rId133" Type="http://schemas.openxmlformats.org/officeDocument/2006/relationships/hyperlink" Target="https://kimotostudio21.netlify.app/0267/" TargetMode="External"/><Relationship Id="rId254" Type="http://schemas.openxmlformats.org/officeDocument/2006/relationships/hyperlink" Target="https://bibifortunetelling.stores.jp/" TargetMode="External"/><Relationship Id="rId62" Type="http://schemas.openxmlformats.org/officeDocument/2006/relationships/hyperlink" Target="https://kimotostudio21.netlify.app/0230/" TargetMode="External"/><Relationship Id="rId61" Type="http://schemas.openxmlformats.org/officeDocument/2006/relationships/hyperlink" Target="https://iyashinomori-ogikubo.com/" TargetMode="External"/><Relationship Id="rId64" Type="http://schemas.openxmlformats.org/officeDocument/2006/relationships/hyperlink" Target="https://kimotostudio21.netlify.app/0231/" TargetMode="External"/><Relationship Id="rId63" Type="http://schemas.openxmlformats.org/officeDocument/2006/relationships/hyperlink" Target="http://reiki-support.com/" TargetMode="External"/><Relationship Id="rId66" Type="http://schemas.openxmlformats.org/officeDocument/2006/relationships/hyperlink" Target="https://kimotostudio21.netlify.app/0232/" TargetMode="External"/><Relationship Id="rId172" Type="http://schemas.openxmlformats.org/officeDocument/2006/relationships/hyperlink" Target="https://ameblo.jp/pyonta-1205/" TargetMode="External"/><Relationship Id="rId65" Type="http://schemas.openxmlformats.org/officeDocument/2006/relationships/hyperlink" Target="https://asuka-uranai.com/" TargetMode="External"/><Relationship Id="rId171" Type="http://schemas.openxmlformats.org/officeDocument/2006/relationships/hyperlink" Target="https://kimotostudio21.netlify.app/0287/" TargetMode="External"/><Relationship Id="rId68" Type="http://schemas.openxmlformats.org/officeDocument/2006/relationships/hyperlink" Target="https://kimotostudio21.netlify.app/0234/" TargetMode="External"/><Relationship Id="rId170" Type="http://schemas.openxmlformats.org/officeDocument/2006/relationships/hyperlink" Target="https://bibifortunetelling.stores.jp/" TargetMode="External"/><Relationship Id="rId67" Type="http://schemas.openxmlformats.org/officeDocument/2006/relationships/hyperlink" Target="https://kimotostudio21.netlify.app/0233/" TargetMode="External"/><Relationship Id="rId60" Type="http://schemas.openxmlformats.org/officeDocument/2006/relationships/hyperlink" Target="https://kimotostudio21.netlify.app/0229/" TargetMode="External"/><Relationship Id="rId165" Type="http://schemas.openxmlformats.org/officeDocument/2006/relationships/hyperlink" Target="https://kimotostudio21.netlify.app/0284/" TargetMode="External"/><Relationship Id="rId69" Type="http://schemas.openxmlformats.org/officeDocument/2006/relationships/hyperlink" Target="https://sakuraheart.jp/" TargetMode="External"/><Relationship Id="rId164" Type="http://schemas.openxmlformats.org/officeDocument/2006/relationships/hyperlink" Target="https://tenryukan.com/" TargetMode="External"/><Relationship Id="rId163" Type="http://schemas.openxmlformats.org/officeDocument/2006/relationships/hyperlink" Target="https://kimotostudio21.netlify.app/0283/" TargetMode="External"/><Relationship Id="rId162" Type="http://schemas.openxmlformats.org/officeDocument/2006/relationships/hyperlink" Target="https://lamp-web.com/" TargetMode="External"/><Relationship Id="rId283" Type="http://schemas.openxmlformats.org/officeDocument/2006/relationships/drawing" Target="../drawings/drawing1.xml"/><Relationship Id="rId169" Type="http://schemas.openxmlformats.org/officeDocument/2006/relationships/hyperlink" Target="https://kimotostudio21.netlify.app/0286/" TargetMode="External"/><Relationship Id="rId168" Type="http://schemas.openxmlformats.org/officeDocument/2006/relationships/hyperlink" Target="https://feeloasis2.sakura.ne.jp/" TargetMode="External"/><Relationship Id="rId167" Type="http://schemas.openxmlformats.org/officeDocument/2006/relationships/hyperlink" Target="https://kimotostudio21.netlify.app/0285/" TargetMode="External"/><Relationship Id="rId166" Type="http://schemas.openxmlformats.org/officeDocument/2006/relationships/hyperlink" Target="https://iyashinomori-ogikubo.com/" TargetMode="External"/><Relationship Id="rId51" Type="http://schemas.openxmlformats.org/officeDocument/2006/relationships/hyperlink" Target="https://iyashinomori-ogikubo.com/" TargetMode="External"/><Relationship Id="rId50" Type="http://schemas.openxmlformats.org/officeDocument/2006/relationships/hyperlink" Target="https://kimotostudio21.netlify.app/0224/" TargetMode="External"/><Relationship Id="rId53" Type="http://schemas.openxmlformats.org/officeDocument/2006/relationships/hyperlink" Target="http://reiki-support.com/" TargetMode="External"/><Relationship Id="rId52" Type="http://schemas.openxmlformats.org/officeDocument/2006/relationships/hyperlink" Target="https://kimotostudio21.netlify.app/0225/" TargetMode="External"/><Relationship Id="rId55" Type="http://schemas.openxmlformats.org/officeDocument/2006/relationships/hyperlink" Target="https://asuka-uranai.com/" TargetMode="External"/><Relationship Id="rId161" Type="http://schemas.openxmlformats.org/officeDocument/2006/relationships/hyperlink" Target="https://kimotostudio21.netlify.app/0282/" TargetMode="External"/><Relationship Id="rId282" Type="http://schemas.openxmlformats.org/officeDocument/2006/relationships/hyperlink" Target="https://kimotostudio21.netlify.app/0345/" TargetMode="External"/><Relationship Id="rId54" Type="http://schemas.openxmlformats.org/officeDocument/2006/relationships/hyperlink" Target="https://kimotostudio21.netlify.app/0226/" TargetMode="External"/><Relationship Id="rId160" Type="http://schemas.openxmlformats.org/officeDocument/2006/relationships/hyperlink" Target="http://uranaibarbara.blog.fc2.com/" TargetMode="External"/><Relationship Id="rId281" Type="http://schemas.openxmlformats.org/officeDocument/2006/relationships/hyperlink" Target="https://select-type.com/s/sehinoa" TargetMode="External"/><Relationship Id="rId57" Type="http://schemas.openxmlformats.org/officeDocument/2006/relationships/hyperlink" Target="https://tenryukan.com/" TargetMode="External"/><Relationship Id="rId280" Type="http://schemas.openxmlformats.org/officeDocument/2006/relationships/hyperlink" Target="https://kimotostudio21.netlify.app/0344/" TargetMode="External"/><Relationship Id="rId56" Type="http://schemas.openxmlformats.org/officeDocument/2006/relationships/hyperlink" Target="https://kimotostudio21.netlify.app/0227/" TargetMode="External"/><Relationship Id="rId159" Type="http://schemas.openxmlformats.org/officeDocument/2006/relationships/hyperlink" Target="https://kimotostudio21.netlify.app/0281/" TargetMode="External"/><Relationship Id="rId59" Type="http://schemas.openxmlformats.org/officeDocument/2006/relationships/hyperlink" Target="https://renge-uranai.com/" TargetMode="External"/><Relationship Id="rId154" Type="http://schemas.openxmlformats.org/officeDocument/2006/relationships/hyperlink" Target="https://www.reikibyyuko.com/reiki-J.htm" TargetMode="External"/><Relationship Id="rId275" Type="http://schemas.openxmlformats.org/officeDocument/2006/relationships/hyperlink" Target="https://select-type.com/s/sehinoa" TargetMode="External"/><Relationship Id="rId58" Type="http://schemas.openxmlformats.org/officeDocument/2006/relationships/hyperlink" Target="https://kimotostudio21.netlify.app/0228/" TargetMode="External"/><Relationship Id="rId153" Type="http://schemas.openxmlformats.org/officeDocument/2006/relationships/hyperlink" Target="https://kimotostudio21.netlify.app/0278/" TargetMode="External"/><Relationship Id="rId274" Type="http://schemas.openxmlformats.org/officeDocument/2006/relationships/hyperlink" Target="https://kimotostudio21.netlify.app/0341/" TargetMode="External"/><Relationship Id="rId152" Type="http://schemas.openxmlformats.org/officeDocument/2006/relationships/hyperlink" Target="https://kimotostudio21.netlify.app/0277/" TargetMode="External"/><Relationship Id="rId273" Type="http://schemas.openxmlformats.org/officeDocument/2006/relationships/hyperlink" Target="https://bibifortunetelling.stores.jp/" TargetMode="External"/><Relationship Id="rId151" Type="http://schemas.openxmlformats.org/officeDocument/2006/relationships/hyperlink" Target="https://kimotostudio21.netlify.app/0276/" TargetMode="External"/><Relationship Id="rId272" Type="http://schemas.openxmlformats.org/officeDocument/2006/relationships/hyperlink" Target="https://kimotostudio21.netlify.app/0340/" TargetMode="External"/><Relationship Id="rId158" Type="http://schemas.openxmlformats.org/officeDocument/2006/relationships/hyperlink" Target="http://www.seimiya-issei.com/" TargetMode="External"/><Relationship Id="rId279" Type="http://schemas.openxmlformats.org/officeDocument/2006/relationships/hyperlink" Target="https://bibifortunetelling.stores.jp/" TargetMode="External"/><Relationship Id="rId157" Type="http://schemas.openxmlformats.org/officeDocument/2006/relationships/hyperlink" Target="https://kimotostudio21.netlify.app/0280/" TargetMode="External"/><Relationship Id="rId278" Type="http://schemas.openxmlformats.org/officeDocument/2006/relationships/hyperlink" Target="https://kimotostudio21.netlify.app/0343/" TargetMode="External"/><Relationship Id="rId156" Type="http://schemas.openxmlformats.org/officeDocument/2006/relationships/hyperlink" Target="https://www.healing10.com/" TargetMode="External"/><Relationship Id="rId277" Type="http://schemas.openxmlformats.org/officeDocument/2006/relationships/hyperlink" Target="https://feeloasis2.sakura.ne.jp/" TargetMode="External"/><Relationship Id="rId155" Type="http://schemas.openxmlformats.org/officeDocument/2006/relationships/hyperlink" Target="https://kimotostudio21.netlify.app/0279/" TargetMode="External"/><Relationship Id="rId276" Type="http://schemas.openxmlformats.org/officeDocument/2006/relationships/hyperlink" Target="https://kimotostudio21.netlify.app/0342/" TargetMode="External"/><Relationship Id="rId107" Type="http://schemas.openxmlformats.org/officeDocument/2006/relationships/hyperlink" Target="https://ameblo.jp/agehaseira/" TargetMode="External"/><Relationship Id="rId228" Type="http://schemas.openxmlformats.org/officeDocument/2006/relationships/hyperlink" Target="https://kimotostudio21.netlify.app/0317/" TargetMode="External"/><Relationship Id="rId106" Type="http://schemas.openxmlformats.org/officeDocument/2006/relationships/hyperlink" Target="https://kimotostudio21.netlify.app/0253/" TargetMode="External"/><Relationship Id="rId227" Type="http://schemas.openxmlformats.org/officeDocument/2006/relationships/hyperlink" Target="https://bibifortunetelling.stores.jp/" TargetMode="External"/><Relationship Id="rId105" Type="http://schemas.openxmlformats.org/officeDocument/2006/relationships/hyperlink" Target="https://ameblo.jp/pyonta-1205/" TargetMode="External"/><Relationship Id="rId226" Type="http://schemas.openxmlformats.org/officeDocument/2006/relationships/hyperlink" Target="https://kimotostudio21.netlify.app/0316/" TargetMode="External"/><Relationship Id="rId104" Type="http://schemas.openxmlformats.org/officeDocument/2006/relationships/hyperlink" Target="https://kimotostudio21.netlify.app/0252/" TargetMode="External"/><Relationship Id="rId225" Type="http://schemas.openxmlformats.org/officeDocument/2006/relationships/hyperlink" Target="https://feeloasis2.sakura.ne.jp/" TargetMode="External"/><Relationship Id="rId109" Type="http://schemas.openxmlformats.org/officeDocument/2006/relationships/hyperlink" Target="https://8nefer8.jimdofree.com/" TargetMode="External"/><Relationship Id="rId108" Type="http://schemas.openxmlformats.org/officeDocument/2006/relationships/hyperlink" Target="https://kimotostudio21.netlify.app/0254/" TargetMode="External"/><Relationship Id="rId229" Type="http://schemas.openxmlformats.org/officeDocument/2006/relationships/hyperlink" Target="https://select-type.com/s/sehinoa" TargetMode="External"/><Relationship Id="rId220" Type="http://schemas.openxmlformats.org/officeDocument/2006/relationships/hyperlink" Target="https://kimotostudio21.netlify.app/0313/" TargetMode="External"/><Relationship Id="rId103" Type="http://schemas.openxmlformats.org/officeDocument/2006/relationships/hyperlink" Target="http://reiki-support.com/" TargetMode="External"/><Relationship Id="rId224" Type="http://schemas.openxmlformats.org/officeDocument/2006/relationships/hyperlink" Target="https://kimotostudio21.netlify.app/0315/" TargetMode="External"/><Relationship Id="rId102" Type="http://schemas.openxmlformats.org/officeDocument/2006/relationships/hyperlink" Target="https://kimotostudio21.netlify.app/0251/" TargetMode="External"/><Relationship Id="rId223" Type="http://schemas.openxmlformats.org/officeDocument/2006/relationships/hyperlink" Target="https://select-type.com/s/sehinoa" TargetMode="External"/><Relationship Id="rId101" Type="http://schemas.openxmlformats.org/officeDocument/2006/relationships/hyperlink" Target="https://asuka-uranai.com/" TargetMode="External"/><Relationship Id="rId222" Type="http://schemas.openxmlformats.org/officeDocument/2006/relationships/hyperlink" Target="https://kimotostudio21.netlify.app/0314/" TargetMode="External"/><Relationship Id="rId100" Type="http://schemas.openxmlformats.org/officeDocument/2006/relationships/hyperlink" Target="https://kimotostudio21.netlify.app/0250/" TargetMode="External"/><Relationship Id="rId221" Type="http://schemas.openxmlformats.org/officeDocument/2006/relationships/hyperlink" Target="https://bibifortunetelling.stores.jp/" TargetMode="External"/><Relationship Id="rId217" Type="http://schemas.openxmlformats.org/officeDocument/2006/relationships/hyperlink" Target="https://iyashinomori-ogikubo.com/" TargetMode="External"/><Relationship Id="rId216" Type="http://schemas.openxmlformats.org/officeDocument/2006/relationships/hyperlink" Target="https://kimotostudio21.netlify.app/0311/" TargetMode="External"/><Relationship Id="rId215" Type="http://schemas.openxmlformats.org/officeDocument/2006/relationships/hyperlink" Target="https://tenryukan.com/" TargetMode="External"/><Relationship Id="rId214" Type="http://schemas.openxmlformats.org/officeDocument/2006/relationships/hyperlink" Target="https://kimotostudio21.netlify.app/0310/" TargetMode="External"/><Relationship Id="rId219" Type="http://schemas.openxmlformats.org/officeDocument/2006/relationships/hyperlink" Target="https://feeloasis2.sakura.ne.jp/" TargetMode="External"/><Relationship Id="rId218" Type="http://schemas.openxmlformats.org/officeDocument/2006/relationships/hyperlink" Target="https://kimotostudio21.netlify.app/0312/" TargetMode="External"/><Relationship Id="rId213" Type="http://schemas.openxmlformats.org/officeDocument/2006/relationships/hyperlink" Target="https://aoitsuki.jp/" TargetMode="External"/><Relationship Id="rId212" Type="http://schemas.openxmlformats.org/officeDocument/2006/relationships/hyperlink" Target="https://kimotostudio21.netlify.app/0309/" TargetMode="External"/><Relationship Id="rId211" Type="http://schemas.openxmlformats.org/officeDocument/2006/relationships/hyperlink" Target="https://kimotostudio21.netlify.app/0308/" TargetMode="External"/><Relationship Id="rId210" Type="http://schemas.openxmlformats.org/officeDocument/2006/relationships/hyperlink" Target="https://iyashinomori-ogikubo.com/" TargetMode="External"/><Relationship Id="rId129" Type="http://schemas.openxmlformats.org/officeDocument/2006/relationships/hyperlink" Target="https://kimotostudio21.netlify.app/0265/" TargetMode="External"/><Relationship Id="rId128" Type="http://schemas.openxmlformats.org/officeDocument/2006/relationships/hyperlink" Target="https://www2.hp-ez.com/hp/humming-bear" TargetMode="External"/><Relationship Id="rId249" Type="http://schemas.openxmlformats.org/officeDocument/2006/relationships/hyperlink" Target="https://kimotostudio21.netlify.app/0328/" TargetMode="External"/><Relationship Id="rId127" Type="http://schemas.openxmlformats.org/officeDocument/2006/relationships/hyperlink" Target="https://kimotostudio21.netlify.app/0264/" TargetMode="External"/><Relationship Id="rId248" Type="http://schemas.openxmlformats.org/officeDocument/2006/relationships/hyperlink" Target="https://tenryukan.com/" TargetMode="External"/><Relationship Id="rId126" Type="http://schemas.openxmlformats.org/officeDocument/2006/relationships/hyperlink" Target="http://fortunecrystal.web.fc2.com/" TargetMode="External"/><Relationship Id="rId247" Type="http://schemas.openxmlformats.org/officeDocument/2006/relationships/hyperlink" Target="https://kimotostudio21.netlify.app/0327/" TargetMode="External"/><Relationship Id="rId121" Type="http://schemas.openxmlformats.org/officeDocument/2006/relationships/hyperlink" Target="https://bibifortunetelling.stores.jp/" TargetMode="External"/><Relationship Id="rId242" Type="http://schemas.openxmlformats.org/officeDocument/2006/relationships/hyperlink" Target="https://bibifortunetelling.stores.jp/" TargetMode="External"/><Relationship Id="rId120" Type="http://schemas.openxmlformats.org/officeDocument/2006/relationships/hyperlink" Target="https://kimotostudio21.netlify.app/0260/" TargetMode="External"/><Relationship Id="rId241" Type="http://schemas.openxmlformats.org/officeDocument/2006/relationships/hyperlink" Target="https://kimotostudio21.netlify.app/0324/" TargetMode="External"/><Relationship Id="rId240" Type="http://schemas.openxmlformats.org/officeDocument/2006/relationships/hyperlink" Target="https://feeloasis2.sakura.ne.jp/" TargetMode="External"/><Relationship Id="rId125" Type="http://schemas.openxmlformats.org/officeDocument/2006/relationships/hyperlink" Target="https://kimotostudio21.netlify.app/0263/" TargetMode="External"/><Relationship Id="rId246" Type="http://schemas.openxmlformats.org/officeDocument/2006/relationships/hyperlink" Target="https://renge-uranai.com/" TargetMode="External"/><Relationship Id="rId124" Type="http://schemas.openxmlformats.org/officeDocument/2006/relationships/hyperlink" Target="https://www.almamiyoko.com/" TargetMode="External"/><Relationship Id="rId245" Type="http://schemas.openxmlformats.org/officeDocument/2006/relationships/hyperlink" Target="https://kimotostudio21.netlify.app/0326/" TargetMode="External"/><Relationship Id="rId123" Type="http://schemas.openxmlformats.org/officeDocument/2006/relationships/hyperlink" Target="https://kimotostudio21.netlify.app/0262/" TargetMode="External"/><Relationship Id="rId244" Type="http://schemas.openxmlformats.org/officeDocument/2006/relationships/hyperlink" Target="https://select-type.com/s/sehinoa" TargetMode="External"/><Relationship Id="rId122" Type="http://schemas.openxmlformats.org/officeDocument/2006/relationships/hyperlink" Target="https://kimotostudio21.netlify.app/0261/" TargetMode="External"/><Relationship Id="rId243" Type="http://schemas.openxmlformats.org/officeDocument/2006/relationships/hyperlink" Target="https://kimotostudio21.netlify.app/0325/" TargetMode="External"/><Relationship Id="rId95" Type="http://schemas.openxmlformats.org/officeDocument/2006/relationships/hyperlink" Target="https://tenryukan.com/" TargetMode="External"/><Relationship Id="rId94" Type="http://schemas.openxmlformats.org/officeDocument/2006/relationships/hyperlink" Target="https://kimotostudio21.netlify.app/0247/" TargetMode="External"/><Relationship Id="rId97" Type="http://schemas.openxmlformats.org/officeDocument/2006/relationships/hyperlink" Target="https://iyashinomori-ogikubo.com/" TargetMode="External"/><Relationship Id="rId96" Type="http://schemas.openxmlformats.org/officeDocument/2006/relationships/hyperlink" Target="https://kimotostudio21.netlify.app/0248/" TargetMode="External"/><Relationship Id="rId99" Type="http://schemas.openxmlformats.org/officeDocument/2006/relationships/hyperlink" Target="https://feeloasis2.sakura.ne.jp/" TargetMode="External"/><Relationship Id="rId98" Type="http://schemas.openxmlformats.org/officeDocument/2006/relationships/hyperlink" Target="https://kimotostudio21.netlify.app/0249/" TargetMode="External"/><Relationship Id="rId91" Type="http://schemas.openxmlformats.org/officeDocument/2006/relationships/hyperlink" Target="https://asuka-uranai.com/" TargetMode="External"/><Relationship Id="rId90" Type="http://schemas.openxmlformats.org/officeDocument/2006/relationships/hyperlink" Target="https://kimotostudio21.netlify.app/0245/" TargetMode="External"/><Relationship Id="rId93" Type="http://schemas.openxmlformats.org/officeDocument/2006/relationships/hyperlink" Target="http://reiki-support.com/" TargetMode="External"/><Relationship Id="rId92" Type="http://schemas.openxmlformats.org/officeDocument/2006/relationships/hyperlink" Target="https://kimotostudio21.netlify.app/0246/" TargetMode="External"/><Relationship Id="rId118" Type="http://schemas.openxmlformats.org/officeDocument/2006/relationships/hyperlink" Target="https://kimotostudio21.netlify.app/0259/" TargetMode="External"/><Relationship Id="rId239" Type="http://schemas.openxmlformats.org/officeDocument/2006/relationships/hyperlink" Target="https://kimotostudio21.netlify.app/0323/" TargetMode="External"/><Relationship Id="rId117" Type="http://schemas.openxmlformats.org/officeDocument/2006/relationships/hyperlink" Target="https://pokapoka-place.jimdosite.com/" TargetMode="External"/><Relationship Id="rId238" Type="http://schemas.openxmlformats.org/officeDocument/2006/relationships/hyperlink" Target="https://iyashinomori-ogikubo.com/" TargetMode="External"/><Relationship Id="rId116" Type="http://schemas.openxmlformats.org/officeDocument/2006/relationships/hyperlink" Target="https://kimotostudio21.netlify.app/0258/" TargetMode="External"/><Relationship Id="rId237" Type="http://schemas.openxmlformats.org/officeDocument/2006/relationships/hyperlink" Target="https://kimotostudio21.netlify.app/0322/" TargetMode="External"/><Relationship Id="rId115" Type="http://schemas.openxmlformats.org/officeDocument/2006/relationships/hyperlink" Target="https://yuran-healing.jimdofree.com/" TargetMode="External"/><Relationship Id="rId236" Type="http://schemas.openxmlformats.org/officeDocument/2006/relationships/hyperlink" Target="https://tenryukan.com/" TargetMode="External"/><Relationship Id="rId119" Type="http://schemas.openxmlformats.org/officeDocument/2006/relationships/hyperlink" Target="https://feeloasis2.sakura.ne.jp/" TargetMode="External"/><Relationship Id="rId110" Type="http://schemas.openxmlformats.org/officeDocument/2006/relationships/hyperlink" Target="https://kimotostudio21.netlify.app/0255/" TargetMode="External"/><Relationship Id="rId231" Type="http://schemas.openxmlformats.org/officeDocument/2006/relationships/hyperlink" Target="https://kimotostudio21.netlify.app/0319/" TargetMode="External"/><Relationship Id="rId230" Type="http://schemas.openxmlformats.org/officeDocument/2006/relationships/hyperlink" Target="https://kimotostudio21.netlify.app/0318/" TargetMode="External"/><Relationship Id="rId114" Type="http://schemas.openxmlformats.org/officeDocument/2006/relationships/hyperlink" Target="https://kimotostudio21.netlify.app/0257/" TargetMode="External"/><Relationship Id="rId235" Type="http://schemas.openxmlformats.org/officeDocument/2006/relationships/hyperlink" Target="https://kimotostudio21.netlify.app/0321/" TargetMode="External"/><Relationship Id="rId113" Type="http://schemas.openxmlformats.org/officeDocument/2006/relationships/hyperlink" Target="https://angel-playground.jimdosite.com/" TargetMode="External"/><Relationship Id="rId234" Type="http://schemas.openxmlformats.org/officeDocument/2006/relationships/hyperlink" Target="https://renge-uranai.com/" TargetMode="External"/><Relationship Id="rId112" Type="http://schemas.openxmlformats.org/officeDocument/2006/relationships/hyperlink" Target="https://kimotostudio21.netlify.app/0256/" TargetMode="External"/><Relationship Id="rId233" Type="http://schemas.openxmlformats.org/officeDocument/2006/relationships/hyperlink" Target="https://kimotostudio21.netlify.app/0320/" TargetMode="External"/><Relationship Id="rId111" Type="http://schemas.openxmlformats.org/officeDocument/2006/relationships/hyperlink" Target="https://ameblo.jp/hummingbeartenka/" TargetMode="External"/><Relationship Id="rId232" Type="http://schemas.openxmlformats.org/officeDocument/2006/relationships/hyperlink" Target="https://aoitsuki.jp/" TargetMode="External"/><Relationship Id="rId206" Type="http://schemas.openxmlformats.org/officeDocument/2006/relationships/hyperlink" Target="http://luri.moon.bindcloud.jp/" TargetMode="External"/><Relationship Id="rId205" Type="http://schemas.openxmlformats.org/officeDocument/2006/relationships/hyperlink" Target="https://kimotostudio21.netlify.app/0305/" TargetMode="External"/><Relationship Id="rId204" Type="http://schemas.openxmlformats.org/officeDocument/2006/relationships/hyperlink" Target="https://bibifortunetelling.stores.jp/" TargetMode="External"/><Relationship Id="rId203" Type="http://schemas.openxmlformats.org/officeDocument/2006/relationships/hyperlink" Target="https://kimotostudio21.netlify.app/0304/" TargetMode="External"/><Relationship Id="rId209" Type="http://schemas.openxmlformats.org/officeDocument/2006/relationships/hyperlink" Target="https://kimotostudio21.netlify.app/0307/" TargetMode="External"/><Relationship Id="rId208" Type="http://schemas.openxmlformats.org/officeDocument/2006/relationships/hyperlink" Target="https://tenryukan.com/" TargetMode="External"/><Relationship Id="rId207" Type="http://schemas.openxmlformats.org/officeDocument/2006/relationships/hyperlink" Target="https://kimotostudio21.netlify.app/0306/" TargetMode="External"/><Relationship Id="rId202" Type="http://schemas.openxmlformats.org/officeDocument/2006/relationships/hyperlink" Target="https://feeloasis2.sakura.ne.jp/" TargetMode="External"/><Relationship Id="rId201" Type="http://schemas.openxmlformats.org/officeDocument/2006/relationships/hyperlink" Target="https://kimotostudio21.netlify.app/0303/" TargetMode="External"/><Relationship Id="rId200" Type="http://schemas.openxmlformats.org/officeDocument/2006/relationships/hyperlink" Target="https://iyashinomori-ogikubo.com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kimotostudio21.netlify.app/0365/" TargetMode="External"/><Relationship Id="rId190" Type="http://schemas.openxmlformats.org/officeDocument/2006/relationships/hyperlink" Target="https://2btamaki.jimdofree.com/" TargetMode="External"/><Relationship Id="rId42" Type="http://schemas.openxmlformats.org/officeDocument/2006/relationships/hyperlink" Target="https://kimotostudio21.netlify.app/0366/" TargetMode="External"/><Relationship Id="rId41" Type="http://schemas.openxmlformats.org/officeDocument/2006/relationships/hyperlink" Target="https://healing-salon.jimdofree.com/" TargetMode="External"/><Relationship Id="rId44" Type="http://schemas.openxmlformats.org/officeDocument/2006/relationships/hyperlink" Target="https://kimotostudio21.netlify.app/0367/" TargetMode="External"/><Relationship Id="rId194" Type="http://schemas.openxmlformats.org/officeDocument/2006/relationships/hyperlink" Target="https://serenite.live-web.jp/" TargetMode="External"/><Relationship Id="rId43" Type="http://schemas.openxmlformats.org/officeDocument/2006/relationships/hyperlink" Target="http://rainbowprism.web.fc2.com/" TargetMode="External"/><Relationship Id="rId193" Type="http://schemas.openxmlformats.org/officeDocument/2006/relationships/hyperlink" Target="https://kimotostudio21.netlify.app/0475/" TargetMode="External"/><Relationship Id="rId46" Type="http://schemas.openxmlformats.org/officeDocument/2006/relationships/hyperlink" Target="https://kimotostudio21.netlify.app/0368/" TargetMode="External"/><Relationship Id="rId192" Type="http://schemas.openxmlformats.org/officeDocument/2006/relationships/hyperlink" Target="https://phiphi-fuchu.amebaownd.com/" TargetMode="External"/><Relationship Id="rId45" Type="http://schemas.openxmlformats.org/officeDocument/2006/relationships/hyperlink" Target="https://hinamana.shopinfo.jp/" TargetMode="External"/><Relationship Id="rId191" Type="http://schemas.openxmlformats.org/officeDocument/2006/relationships/hyperlink" Target="https://kimotostudio21.netlify.app/0474/" TargetMode="External"/><Relationship Id="rId48" Type="http://schemas.openxmlformats.org/officeDocument/2006/relationships/hyperlink" Target="http://www.psychic-counseling.com/" TargetMode="External"/><Relationship Id="rId187" Type="http://schemas.openxmlformats.org/officeDocument/2006/relationships/hyperlink" Target="https://kimotostudio21.netlify.app/0472/" TargetMode="External"/><Relationship Id="rId47" Type="http://schemas.openxmlformats.org/officeDocument/2006/relationships/hyperlink" Target="https://kimotostudio21.netlify.app/0369/" TargetMode="External"/><Relationship Id="rId186" Type="http://schemas.openxmlformats.org/officeDocument/2006/relationships/hyperlink" Target="https://hollyhock.amebaownd.com/" TargetMode="External"/><Relationship Id="rId185" Type="http://schemas.openxmlformats.org/officeDocument/2006/relationships/hyperlink" Target="https://kimotostudio21.netlify.app/0471/" TargetMode="External"/><Relationship Id="rId49" Type="http://schemas.openxmlformats.org/officeDocument/2006/relationships/hyperlink" Target="https://kimotostudio21.netlify.app/0370/" TargetMode="External"/><Relationship Id="rId184" Type="http://schemas.openxmlformats.org/officeDocument/2006/relationships/hyperlink" Target="https://ladouce20180925.amebaownd.com/" TargetMode="External"/><Relationship Id="rId189" Type="http://schemas.openxmlformats.org/officeDocument/2006/relationships/hyperlink" Target="https://kimotostudio21.netlify.app/0473/" TargetMode="External"/><Relationship Id="rId188" Type="http://schemas.openxmlformats.org/officeDocument/2006/relationships/hyperlink" Target="https://www.aroma-fuwari.co/" TargetMode="External"/><Relationship Id="rId31" Type="http://schemas.openxmlformats.org/officeDocument/2006/relationships/hyperlink" Target="http://www.healing-gate.com/" TargetMode="External"/><Relationship Id="rId30" Type="http://schemas.openxmlformats.org/officeDocument/2006/relationships/hyperlink" Target="https://kimotostudio21.netlify.app/0360/" TargetMode="External"/><Relationship Id="rId33" Type="http://schemas.openxmlformats.org/officeDocument/2006/relationships/hyperlink" Target="https://kaorimaheki.com/" TargetMode="External"/><Relationship Id="rId183" Type="http://schemas.openxmlformats.org/officeDocument/2006/relationships/hyperlink" Target="https://kimotostudio21.netlify.app/0470/" TargetMode="External"/><Relationship Id="rId32" Type="http://schemas.openxmlformats.org/officeDocument/2006/relationships/hyperlink" Target="https://kimotostudio21.netlify.app/0361/" TargetMode="External"/><Relationship Id="rId182" Type="http://schemas.openxmlformats.org/officeDocument/2006/relationships/hyperlink" Target="https://rou2024.amebaownd.com/" TargetMode="External"/><Relationship Id="rId35" Type="http://schemas.openxmlformats.org/officeDocument/2006/relationships/hyperlink" Target="https://seoritsulight.jimdofree.com/" TargetMode="External"/><Relationship Id="rId181" Type="http://schemas.openxmlformats.org/officeDocument/2006/relationships/hyperlink" Target="https://kimotostudio21.netlify.app/0469/" TargetMode="External"/><Relationship Id="rId34" Type="http://schemas.openxmlformats.org/officeDocument/2006/relationships/hyperlink" Target="https://kimotostudio21.netlify.app/0362/" TargetMode="External"/><Relationship Id="rId180" Type="http://schemas.openxmlformats.org/officeDocument/2006/relationships/hyperlink" Target="https://fullbloomkumi.wixsite.com/home" TargetMode="External"/><Relationship Id="rId37" Type="http://schemas.openxmlformats.org/officeDocument/2006/relationships/hyperlink" Target="https://site-1745061-8471-6198.mystrikingly.com/" TargetMode="External"/><Relationship Id="rId176" Type="http://schemas.openxmlformats.org/officeDocument/2006/relationships/hyperlink" Target="http://www.un-sui.com/" TargetMode="External"/><Relationship Id="rId36" Type="http://schemas.openxmlformats.org/officeDocument/2006/relationships/hyperlink" Target="https://kimotostudio21.netlify.app/0363/" TargetMode="External"/><Relationship Id="rId175" Type="http://schemas.openxmlformats.org/officeDocument/2006/relationships/hyperlink" Target="https://kimotostudio21.netlify.app/0466/" TargetMode="External"/><Relationship Id="rId39" Type="http://schemas.openxmlformats.org/officeDocument/2006/relationships/hyperlink" Target="https://7room-mms.com/" TargetMode="External"/><Relationship Id="rId174" Type="http://schemas.openxmlformats.org/officeDocument/2006/relationships/hyperlink" Target="https://claire2021.amebaownd.com/" TargetMode="External"/><Relationship Id="rId38" Type="http://schemas.openxmlformats.org/officeDocument/2006/relationships/hyperlink" Target="https://kimotostudio21.netlify.app/0364/" TargetMode="External"/><Relationship Id="rId173" Type="http://schemas.openxmlformats.org/officeDocument/2006/relationships/hyperlink" Target="https://kimotostudio21.netlify.app/0465/" TargetMode="External"/><Relationship Id="rId179" Type="http://schemas.openxmlformats.org/officeDocument/2006/relationships/hyperlink" Target="https://kimotostudio21.netlify.app/0468/" TargetMode="External"/><Relationship Id="rId178" Type="http://schemas.openxmlformats.org/officeDocument/2006/relationships/hyperlink" Target="http://www.uzurasolve.jp/" TargetMode="External"/><Relationship Id="rId177" Type="http://schemas.openxmlformats.org/officeDocument/2006/relationships/hyperlink" Target="https://kimotostudio21.netlify.app/0467/" TargetMode="External"/><Relationship Id="rId20" Type="http://schemas.openxmlformats.org/officeDocument/2006/relationships/hyperlink" Target="https://kimotostudio21.netlify.app/0355/" TargetMode="External"/><Relationship Id="rId22" Type="http://schemas.openxmlformats.org/officeDocument/2006/relationships/hyperlink" Target="https://kimotostudio21.netlify.app/0356/" TargetMode="External"/><Relationship Id="rId21" Type="http://schemas.openxmlformats.org/officeDocument/2006/relationships/hyperlink" Target="https://healing-salon.jimdofree.com/" TargetMode="External"/><Relationship Id="rId24" Type="http://schemas.openxmlformats.org/officeDocument/2006/relationships/hyperlink" Target="https://kimotostudio21.netlify.app/0357/" TargetMode="External"/><Relationship Id="rId23" Type="http://schemas.openxmlformats.org/officeDocument/2006/relationships/hyperlink" Target="https://iyashidokorotommy.themedia.jp/" TargetMode="External"/><Relationship Id="rId26" Type="http://schemas.openxmlformats.org/officeDocument/2006/relationships/hyperlink" Target="https://kimotostudio21.netlify.app/0358/" TargetMode="External"/><Relationship Id="rId25" Type="http://schemas.openxmlformats.org/officeDocument/2006/relationships/hyperlink" Target="https://lotus-lotus.jimdofree.com/" TargetMode="External"/><Relationship Id="rId28" Type="http://schemas.openxmlformats.org/officeDocument/2006/relationships/hyperlink" Target="https://kimotostudio21.netlify.app/0359/" TargetMode="External"/><Relationship Id="rId27" Type="http://schemas.openxmlformats.org/officeDocument/2006/relationships/hyperlink" Target="https://27fudo.wixsite.com/yusen" TargetMode="External"/><Relationship Id="rId29" Type="http://schemas.openxmlformats.org/officeDocument/2006/relationships/hyperlink" Target="https://yuusenkanteiroom.amebaownd.com/" TargetMode="External"/><Relationship Id="rId11" Type="http://schemas.openxmlformats.org/officeDocument/2006/relationships/hyperlink" Target="http://www.healing-gate.com/" TargetMode="External"/><Relationship Id="rId10" Type="http://schemas.openxmlformats.org/officeDocument/2006/relationships/hyperlink" Target="https://kimotostudio21.netlify.app/0350/" TargetMode="External"/><Relationship Id="rId13" Type="http://schemas.openxmlformats.org/officeDocument/2006/relationships/hyperlink" Target="https://kaorimaheki.com/" TargetMode="External"/><Relationship Id="rId12" Type="http://schemas.openxmlformats.org/officeDocument/2006/relationships/hyperlink" Target="https://kimotostudio21.netlify.app/0351/" TargetMode="External"/><Relationship Id="rId15" Type="http://schemas.openxmlformats.org/officeDocument/2006/relationships/hyperlink" Target="https://seoritsulight.jimdofree.com/" TargetMode="External"/><Relationship Id="rId198" Type="http://schemas.openxmlformats.org/officeDocument/2006/relationships/hyperlink" Target="https://peraichi.com/landing_pages/view/izeyamane/" TargetMode="External"/><Relationship Id="rId14" Type="http://schemas.openxmlformats.org/officeDocument/2006/relationships/hyperlink" Target="https://kimotostudio21.netlify.app/0352/" TargetMode="External"/><Relationship Id="rId197" Type="http://schemas.openxmlformats.org/officeDocument/2006/relationships/hyperlink" Target="https://kimotostudio21.netlify.app/0477/" TargetMode="External"/><Relationship Id="rId17" Type="http://schemas.openxmlformats.org/officeDocument/2006/relationships/hyperlink" Target="https://site-1745061-8471-6198.mystrikingly.com/" TargetMode="External"/><Relationship Id="rId196" Type="http://schemas.openxmlformats.org/officeDocument/2006/relationships/hyperlink" Target="http://www.un-sui.com/" TargetMode="External"/><Relationship Id="rId16" Type="http://schemas.openxmlformats.org/officeDocument/2006/relationships/hyperlink" Target="https://kimotostudio21.netlify.app/0353/" TargetMode="External"/><Relationship Id="rId195" Type="http://schemas.openxmlformats.org/officeDocument/2006/relationships/hyperlink" Target="https://kimotostudio21.netlify.app/0476/" TargetMode="External"/><Relationship Id="rId19" Type="http://schemas.openxmlformats.org/officeDocument/2006/relationships/hyperlink" Target="https://7room-mms.com/" TargetMode="External"/><Relationship Id="rId18" Type="http://schemas.openxmlformats.org/officeDocument/2006/relationships/hyperlink" Target="https://kimotostudio21.netlify.app/0354/" TargetMode="External"/><Relationship Id="rId199" Type="http://schemas.openxmlformats.org/officeDocument/2006/relationships/hyperlink" Target="https://kimotostudio21.netlify.app/0478/" TargetMode="External"/><Relationship Id="rId84" Type="http://schemas.openxmlformats.org/officeDocument/2006/relationships/hyperlink" Target="https://hikarinomichi.jp/" TargetMode="External"/><Relationship Id="rId83" Type="http://schemas.openxmlformats.org/officeDocument/2006/relationships/hyperlink" Target="https://kimotostudio21.netlify.app/0387/" TargetMode="External"/><Relationship Id="rId86" Type="http://schemas.openxmlformats.org/officeDocument/2006/relationships/hyperlink" Target="https://iyashinomori-ota.jp/" TargetMode="External"/><Relationship Id="rId85" Type="http://schemas.openxmlformats.org/officeDocument/2006/relationships/hyperlink" Target="https://kimotostudio21.netlify.app/0388/" TargetMode="External"/><Relationship Id="rId88" Type="http://schemas.openxmlformats.org/officeDocument/2006/relationships/hyperlink" Target="https://kizuna3.com/" TargetMode="External"/><Relationship Id="rId150" Type="http://schemas.openxmlformats.org/officeDocument/2006/relationships/hyperlink" Target="http://kisarahealing.com/" TargetMode="External"/><Relationship Id="rId87" Type="http://schemas.openxmlformats.org/officeDocument/2006/relationships/hyperlink" Target="https://kimotostudio21.netlify.app/0389/" TargetMode="External"/><Relationship Id="rId89" Type="http://schemas.openxmlformats.org/officeDocument/2006/relationships/hyperlink" Target="https://kimotostudio21.netlify.app/0390/" TargetMode="External"/><Relationship Id="rId80" Type="http://schemas.openxmlformats.org/officeDocument/2006/relationships/hyperlink" Target="https://jiai-ota.com/" TargetMode="External"/><Relationship Id="rId82" Type="http://schemas.openxmlformats.org/officeDocument/2006/relationships/hyperlink" Target="https://unmeinowa-ota.com/" TargetMode="External"/><Relationship Id="rId81" Type="http://schemas.openxmlformats.org/officeDocument/2006/relationships/hyperlink" Target="https://kimotostudio21.netlify.app/0386/" TargetMode="External"/><Relationship Id="rId1" Type="http://schemas.openxmlformats.org/officeDocument/2006/relationships/hyperlink" Target="https://uranai-gekka.com/" TargetMode="External"/><Relationship Id="rId2" Type="http://schemas.openxmlformats.org/officeDocument/2006/relationships/hyperlink" Target="https://kimotostudio21.netlify.app/0346/" TargetMode="External"/><Relationship Id="rId3" Type="http://schemas.openxmlformats.org/officeDocument/2006/relationships/hyperlink" Target="https://iyashidokorotommy.themedia.jp/" TargetMode="External"/><Relationship Id="rId149" Type="http://schemas.openxmlformats.org/officeDocument/2006/relationships/hyperlink" Target="https://kimotostudio21.netlify.app/0453/" TargetMode="External"/><Relationship Id="rId4" Type="http://schemas.openxmlformats.org/officeDocument/2006/relationships/hyperlink" Target="https://kimotostudio21.netlify.app/0347/" TargetMode="External"/><Relationship Id="rId148" Type="http://schemas.openxmlformats.org/officeDocument/2006/relationships/hyperlink" Target="https://rurudo1618.jimdofree.com/" TargetMode="External"/><Relationship Id="rId9" Type="http://schemas.openxmlformats.org/officeDocument/2006/relationships/hyperlink" Target="https://yuusenkanteiroom.amebaownd.com/" TargetMode="External"/><Relationship Id="rId143" Type="http://schemas.openxmlformats.org/officeDocument/2006/relationships/hyperlink" Target="https://tsumugi-healing.com/" TargetMode="External"/><Relationship Id="rId142" Type="http://schemas.openxmlformats.org/officeDocument/2006/relationships/hyperlink" Target="https://hana-uranai.com/" TargetMode="External"/><Relationship Id="rId141" Type="http://schemas.openxmlformats.org/officeDocument/2006/relationships/hyperlink" Target="https://tsubomi-spiritual.jp/" TargetMode="External"/><Relationship Id="rId140" Type="http://schemas.openxmlformats.org/officeDocument/2006/relationships/hyperlink" Target="https://kaede-healing.com/" TargetMode="External"/><Relationship Id="rId5" Type="http://schemas.openxmlformats.org/officeDocument/2006/relationships/hyperlink" Target="https://lotus-lotus.jimdofree.com/" TargetMode="External"/><Relationship Id="rId147" Type="http://schemas.openxmlformats.org/officeDocument/2006/relationships/hyperlink" Target="https://kimotostudio21.netlify.app/0452/" TargetMode="External"/><Relationship Id="rId6" Type="http://schemas.openxmlformats.org/officeDocument/2006/relationships/hyperlink" Target="https://kimotostudio21.netlify.app/0348/" TargetMode="External"/><Relationship Id="rId146" Type="http://schemas.openxmlformats.org/officeDocument/2006/relationships/hyperlink" Target="https://www.aroma-fuwari.co/" TargetMode="External"/><Relationship Id="rId7" Type="http://schemas.openxmlformats.org/officeDocument/2006/relationships/hyperlink" Target="https://27fudo.wixsite.com/yusen" TargetMode="External"/><Relationship Id="rId145" Type="http://schemas.openxmlformats.org/officeDocument/2006/relationships/hyperlink" Target="https://kimotostudio21.netlify.app/0451/" TargetMode="External"/><Relationship Id="rId8" Type="http://schemas.openxmlformats.org/officeDocument/2006/relationships/hyperlink" Target="https://kimotostudio21.netlify.app/0349/" TargetMode="External"/><Relationship Id="rId144" Type="http://schemas.openxmlformats.org/officeDocument/2006/relationships/hyperlink" Target="https://fuchuwaltz.com/" TargetMode="External"/><Relationship Id="rId73" Type="http://schemas.openxmlformats.org/officeDocument/2006/relationships/hyperlink" Target="https://kimotostudio21.netlify.app/0382/" TargetMode="External"/><Relationship Id="rId72" Type="http://schemas.openxmlformats.org/officeDocument/2006/relationships/hyperlink" Target="https://yui-uranai.jp/" TargetMode="External"/><Relationship Id="rId75" Type="http://schemas.openxmlformats.org/officeDocument/2006/relationships/hyperlink" Target="https://kimotostudio21.netlify.app/0383/" TargetMode="External"/><Relationship Id="rId74" Type="http://schemas.openxmlformats.org/officeDocument/2006/relationships/hyperlink" Target="https://coconala.com/users/1885651" TargetMode="External"/><Relationship Id="rId77" Type="http://schemas.openxmlformats.org/officeDocument/2006/relationships/hyperlink" Target="https://kimotostudio21.netlify.app/0384/" TargetMode="External"/><Relationship Id="rId76" Type="http://schemas.openxmlformats.org/officeDocument/2006/relationships/hyperlink" Target="https://kanade-healing.com/" TargetMode="External"/><Relationship Id="rId79" Type="http://schemas.openxmlformats.org/officeDocument/2006/relationships/hyperlink" Target="https://kimotostudio21.netlify.app/0385/" TargetMode="External"/><Relationship Id="rId78" Type="http://schemas.openxmlformats.org/officeDocument/2006/relationships/hyperlink" Target="https://nijinohashi-ota.com/" TargetMode="External"/><Relationship Id="rId71" Type="http://schemas.openxmlformats.org/officeDocument/2006/relationships/hyperlink" Target="https://kimotostudio21.netlify.app/0381/" TargetMode="External"/><Relationship Id="rId70" Type="http://schemas.openxmlformats.org/officeDocument/2006/relationships/hyperlink" Target="https://www.foomi.jp/" TargetMode="External"/><Relationship Id="rId139" Type="http://schemas.openxmlformats.org/officeDocument/2006/relationships/hyperlink" Target="https://yui-uranai.jp/" TargetMode="External"/><Relationship Id="rId138" Type="http://schemas.openxmlformats.org/officeDocument/2006/relationships/hyperlink" Target="https://tsumugi-spiritual.com/" TargetMode="External"/><Relationship Id="rId137" Type="http://schemas.openxmlformats.org/officeDocument/2006/relationships/hyperlink" Target="https://shiori-healing.jp/" TargetMode="External"/><Relationship Id="rId132" Type="http://schemas.openxmlformats.org/officeDocument/2006/relationships/hyperlink" Target="https://nagi-spiritual.jp/" TargetMode="External"/><Relationship Id="rId131" Type="http://schemas.openxmlformats.org/officeDocument/2006/relationships/hyperlink" Target="https://nozomi-healing.jp/" TargetMode="External"/><Relationship Id="rId130" Type="http://schemas.openxmlformats.org/officeDocument/2006/relationships/hyperlink" Target="https://kizuna-uranai.net/" TargetMode="External"/><Relationship Id="rId136" Type="http://schemas.openxmlformats.org/officeDocument/2006/relationships/hyperlink" Target="https://sui-uranai.com/" TargetMode="External"/><Relationship Id="rId135" Type="http://schemas.openxmlformats.org/officeDocument/2006/relationships/hyperlink" Target="https://hasu-spiritual.jp/" TargetMode="External"/><Relationship Id="rId134" Type="http://schemas.openxmlformats.org/officeDocument/2006/relationships/hyperlink" Target="https://aoi-healing.com/" TargetMode="External"/><Relationship Id="rId133" Type="http://schemas.openxmlformats.org/officeDocument/2006/relationships/hyperlink" Target="https://mio-uranai.jp/" TargetMode="External"/><Relationship Id="rId62" Type="http://schemas.openxmlformats.org/officeDocument/2006/relationships/hyperlink" Target="https://masuma-tesou.com/" TargetMode="External"/><Relationship Id="rId61" Type="http://schemas.openxmlformats.org/officeDocument/2006/relationships/hyperlink" Target="https://kimotostudio21.netlify.app/0376/" TargetMode="External"/><Relationship Id="rId64" Type="http://schemas.openxmlformats.org/officeDocument/2006/relationships/hyperlink" Target="https://shishin-uranai.com/" TargetMode="External"/><Relationship Id="rId63" Type="http://schemas.openxmlformats.org/officeDocument/2006/relationships/hyperlink" Target="https://kimotostudio21.netlify.app/0377/" TargetMode="External"/><Relationship Id="rId66" Type="http://schemas.openxmlformats.org/officeDocument/2006/relationships/hyperlink" Target="https://uranai-hasu.com/" TargetMode="External"/><Relationship Id="rId172" Type="http://schemas.openxmlformats.org/officeDocument/2006/relationships/hyperlink" Target="http://manimani-fuchu.com/" TargetMode="External"/><Relationship Id="rId65" Type="http://schemas.openxmlformats.org/officeDocument/2006/relationships/hyperlink" Target="https://kimotostudio21.netlify.app/0378/" TargetMode="External"/><Relationship Id="rId171" Type="http://schemas.openxmlformats.org/officeDocument/2006/relationships/hyperlink" Target="https://kimotostudio21.netlify.app/0464/" TargetMode="External"/><Relationship Id="rId68" Type="http://schemas.openxmlformats.org/officeDocument/2006/relationships/hyperlink" Target="https://hizuki.net/" TargetMode="External"/><Relationship Id="rId170" Type="http://schemas.openxmlformats.org/officeDocument/2006/relationships/hyperlink" Target="http://healing-hanon.com/" TargetMode="External"/><Relationship Id="rId67" Type="http://schemas.openxmlformats.org/officeDocument/2006/relationships/hyperlink" Target="https://kimotostudio21.netlify.app/0379/" TargetMode="External"/><Relationship Id="rId60" Type="http://schemas.openxmlformats.org/officeDocument/2006/relationships/hyperlink" Target="https://www.relux2022.com/" TargetMode="External"/><Relationship Id="rId165" Type="http://schemas.openxmlformats.org/officeDocument/2006/relationships/hyperlink" Target="https://kimotostudio21.netlify.app/0461/" TargetMode="External"/><Relationship Id="rId69" Type="http://schemas.openxmlformats.org/officeDocument/2006/relationships/hyperlink" Target="https://kimotostudio21.netlify.app/0380/" TargetMode="External"/><Relationship Id="rId164" Type="http://schemas.openxmlformats.org/officeDocument/2006/relationships/hyperlink" Target="https://ladouce20180925.amebaownd.com/" TargetMode="External"/><Relationship Id="rId163" Type="http://schemas.openxmlformats.org/officeDocument/2006/relationships/hyperlink" Target="https://kimotostudio21.netlify.app/0460/" TargetMode="External"/><Relationship Id="rId162" Type="http://schemas.openxmlformats.org/officeDocument/2006/relationships/hyperlink" Target="https://rou2024.amebaownd.com/" TargetMode="External"/><Relationship Id="rId169" Type="http://schemas.openxmlformats.org/officeDocument/2006/relationships/hyperlink" Target="https://kimotostudio21.netlify.app/0463/" TargetMode="External"/><Relationship Id="rId168" Type="http://schemas.openxmlformats.org/officeDocument/2006/relationships/hyperlink" Target="https://rurudo1618.jimdofree.com/" TargetMode="External"/><Relationship Id="rId167" Type="http://schemas.openxmlformats.org/officeDocument/2006/relationships/hyperlink" Target="https://kimotostudio21.netlify.app/0462/" TargetMode="External"/><Relationship Id="rId166" Type="http://schemas.openxmlformats.org/officeDocument/2006/relationships/hyperlink" Target="http://kisarahealing.com/" TargetMode="External"/><Relationship Id="rId51" Type="http://schemas.openxmlformats.org/officeDocument/2006/relationships/hyperlink" Target="https://kimotostudio21.netlify.app/0371/" TargetMode="External"/><Relationship Id="rId50" Type="http://schemas.openxmlformats.org/officeDocument/2006/relationships/hyperlink" Target="http://luna104.net/" TargetMode="External"/><Relationship Id="rId53" Type="http://schemas.openxmlformats.org/officeDocument/2006/relationships/hyperlink" Target="https://kimotostudio21.netlify.app/0372/" TargetMode="External"/><Relationship Id="rId52" Type="http://schemas.openxmlformats.org/officeDocument/2006/relationships/hyperlink" Target="https://kewarra-bodyhealing.jimdofree.com/" TargetMode="External"/><Relationship Id="rId55" Type="http://schemas.openxmlformats.org/officeDocument/2006/relationships/hyperlink" Target="https://kimotostudio21.netlify.app/0373/" TargetMode="External"/><Relationship Id="rId161" Type="http://schemas.openxmlformats.org/officeDocument/2006/relationships/hyperlink" Target="https://kimotostudio21.netlify.app/0459/" TargetMode="External"/><Relationship Id="rId54" Type="http://schemas.openxmlformats.org/officeDocument/2006/relationships/hyperlink" Target="https://truecolors-welcome.com/" TargetMode="External"/><Relationship Id="rId160" Type="http://schemas.openxmlformats.org/officeDocument/2006/relationships/hyperlink" Target="https://fullbloomkumi.wixsite.com/home" TargetMode="External"/><Relationship Id="rId57" Type="http://schemas.openxmlformats.org/officeDocument/2006/relationships/hyperlink" Target="https://kimotostudio21.netlify.app/0374/" TargetMode="External"/><Relationship Id="rId56" Type="http://schemas.openxmlformats.org/officeDocument/2006/relationships/hyperlink" Target="https://yuinokante.amebaownd.com/" TargetMode="External"/><Relationship Id="rId159" Type="http://schemas.openxmlformats.org/officeDocument/2006/relationships/hyperlink" Target="https://kimotostudio21.netlify.app/0458/" TargetMode="External"/><Relationship Id="rId59" Type="http://schemas.openxmlformats.org/officeDocument/2006/relationships/hyperlink" Target="https://kimotostudio21.netlify.app/0375/" TargetMode="External"/><Relationship Id="rId154" Type="http://schemas.openxmlformats.org/officeDocument/2006/relationships/hyperlink" Target="http://manimani-fuchu.com/" TargetMode="External"/><Relationship Id="rId58" Type="http://schemas.openxmlformats.org/officeDocument/2006/relationships/hyperlink" Target="https://otakiplanning.net/" TargetMode="External"/><Relationship Id="rId153" Type="http://schemas.openxmlformats.org/officeDocument/2006/relationships/hyperlink" Target="https://kimotostudio21.netlify.app/0455/" TargetMode="External"/><Relationship Id="rId152" Type="http://schemas.openxmlformats.org/officeDocument/2006/relationships/hyperlink" Target="http://healing-hanon.com/" TargetMode="External"/><Relationship Id="rId151" Type="http://schemas.openxmlformats.org/officeDocument/2006/relationships/hyperlink" Target="https://kimotostudio21.netlify.app/0454/" TargetMode="External"/><Relationship Id="rId158" Type="http://schemas.openxmlformats.org/officeDocument/2006/relationships/hyperlink" Target="http://www.uzurasolve.jp/" TargetMode="External"/><Relationship Id="rId157" Type="http://schemas.openxmlformats.org/officeDocument/2006/relationships/hyperlink" Target="https://kimotostudio21.netlify.app/0457/" TargetMode="External"/><Relationship Id="rId156" Type="http://schemas.openxmlformats.org/officeDocument/2006/relationships/hyperlink" Target="https://claire2021.amebaownd.com/" TargetMode="External"/><Relationship Id="rId155" Type="http://schemas.openxmlformats.org/officeDocument/2006/relationships/hyperlink" Target="https://kimotostudio21.netlify.app/0456/" TargetMode="External"/><Relationship Id="rId107" Type="http://schemas.openxmlformats.org/officeDocument/2006/relationships/hyperlink" Target="https://kimotostudio21.netlify.app/0399/" TargetMode="External"/><Relationship Id="rId228" Type="http://schemas.openxmlformats.org/officeDocument/2006/relationships/drawing" Target="../drawings/drawing2.xml"/><Relationship Id="rId106" Type="http://schemas.openxmlformats.org/officeDocument/2006/relationships/hyperlink" Target="https://www.instagram.com/tsumugi_cyo/" TargetMode="External"/><Relationship Id="rId227" Type="http://schemas.openxmlformats.org/officeDocument/2006/relationships/hyperlink" Target="https://kimotostudio21.netlify.app/0492/" TargetMode="External"/><Relationship Id="rId105" Type="http://schemas.openxmlformats.org/officeDocument/2006/relationships/hyperlink" Target="https://kimotostudio21.netlify.app/0398/" TargetMode="External"/><Relationship Id="rId226" Type="http://schemas.openxmlformats.org/officeDocument/2006/relationships/hyperlink" Target="http://kisarahealing.com/" TargetMode="External"/><Relationship Id="rId104" Type="http://schemas.openxmlformats.org/officeDocument/2006/relationships/hyperlink" Target="https://azulealea.simdif.com" TargetMode="External"/><Relationship Id="rId225" Type="http://schemas.openxmlformats.org/officeDocument/2006/relationships/hyperlink" Target="https://kimotostudio21.netlify.app/0491/" TargetMode="External"/><Relationship Id="rId109" Type="http://schemas.openxmlformats.org/officeDocument/2006/relationships/hyperlink" Target="https://kaedean.com/" TargetMode="External"/><Relationship Id="rId108" Type="http://schemas.openxmlformats.org/officeDocument/2006/relationships/hyperlink" Target="https://f74w5.hp.peraichi.com/" TargetMode="External"/><Relationship Id="rId220" Type="http://schemas.openxmlformats.org/officeDocument/2006/relationships/hyperlink" Target="http://manimani-fuchu.com/" TargetMode="External"/><Relationship Id="rId103" Type="http://schemas.openxmlformats.org/officeDocument/2006/relationships/hyperlink" Target="https://kimotostudio21.netlify.app/0397/" TargetMode="External"/><Relationship Id="rId224" Type="http://schemas.openxmlformats.org/officeDocument/2006/relationships/hyperlink" Target="https://rurudo1618.jimdofree.com/" TargetMode="External"/><Relationship Id="rId102" Type="http://schemas.openxmlformats.org/officeDocument/2006/relationships/hyperlink" Target="https://www.ouchiseitai.net/syuzai/nagomi-salon/" TargetMode="External"/><Relationship Id="rId223" Type="http://schemas.openxmlformats.org/officeDocument/2006/relationships/hyperlink" Target="https://kimotostudio21.netlify.app/0490/" TargetMode="External"/><Relationship Id="rId101" Type="http://schemas.openxmlformats.org/officeDocument/2006/relationships/hyperlink" Target="https://kimotostudio21.netlify.app/0396/" TargetMode="External"/><Relationship Id="rId222" Type="http://schemas.openxmlformats.org/officeDocument/2006/relationships/hyperlink" Target="http://healing-hanon.com/" TargetMode="External"/><Relationship Id="rId100" Type="http://schemas.openxmlformats.org/officeDocument/2006/relationships/hyperlink" Target="https://www.facebook.com/megumi.uranai/" TargetMode="External"/><Relationship Id="rId221" Type="http://schemas.openxmlformats.org/officeDocument/2006/relationships/hyperlink" Target="https://kimotostudio21.netlify.app/0489/" TargetMode="External"/><Relationship Id="rId217" Type="http://schemas.openxmlformats.org/officeDocument/2006/relationships/hyperlink" Target="https://kimotostudio21.netlify.app/0487/" TargetMode="External"/><Relationship Id="rId216" Type="http://schemas.openxmlformats.org/officeDocument/2006/relationships/hyperlink" Target="https://www.aroma-fuwari.co/" TargetMode="External"/><Relationship Id="rId215" Type="http://schemas.openxmlformats.org/officeDocument/2006/relationships/hyperlink" Target="https://kimotostudio21.netlify.app/0486/" TargetMode="External"/><Relationship Id="rId214" Type="http://schemas.openxmlformats.org/officeDocument/2006/relationships/hyperlink" Target="https://fullbloomkumi.wixsite.com/home" TargetMode="External"/><Relationship Id="rId219" Type="http://schemas.openxmlformats.org/officeDocument/2006/relationships/hyperlink" Target="https://kimotostudio21.netlify.app/0488/" TargetMode="External"/><Relationship Id="rId218" Type="http://schemas.openxmlformats.org/officeDocument/2006/relationships/hyperlink" Target="http://www.uzurasolve.jp/" TargetMode="External"/><Relationship Id="rId213" Type="http://schemas.openxmlformats.org/officeDocument/2006/relationships/hyperlink" Target="https://kimotostudio21.netlify.app/0485/" TargetMode="External"/><Relationship Id="rId212" Type="http://schemas.openxmlformats.org/officeDocument/2006/relationships/hyperlink" Target="https://rou2024.amebaownd.com/" TargetMode="External"/><Relationship Id="rId211" Type="http://schemas.openxmlformats.org/officeDocument/2006/relationships/hyperlink" Target="https://kimotostudio21.netlify.app/0484/" TargetMode="External"/><Relationship Id="rId210" Type="http://schemas.openxmlformats.org/officeDocument/2006/relationships/hyperlink" Target="https://ladouce20180925.amebaownd.com/" TargetMode="External"/><Relationship Id="rId129" Type="http://schemas.openxmlformats.org/officeDocument/2006/relationships/hyperlink" Target="https://kanade-spiritual.jp/" TargetMode="External"/><Relationship Id="rId128" Type="http://schemas.openxmlformats.org/officeDocument/2006/relationships/hyperlink" Target="https://tsumugi-healing.jp/" TargetMode="External"/><Relationship Id="rId127" Type="http://schemas.openxmlformats.org/officeDocument/2006/relationships/hyperlink" Target="https://hana-uranai.net/" TargetMode="External"/><Relationship Id="rId126" Type="http://schemas.openxmlformats.org/officeDocument/2006/relationships/hyperlink" Target="https://tsubomi-spiritual.com/" TargetMode="External"/><Relationship Id="rId121" Type="http://schemas.openxmlformats.org/officeDocument/2006/relationships/hyperlink" Target="https://sui-uranai.jp/" TargetMode="External"/><Relationship Id="rId120" Type="http://schemas.openxmlformats.org/officeDocument/2006/relationships/hyperlink" Target="https://hasu-spiritual.net/" TargetMode="External"/><Relationship Id="rId125" Type="http://schemas.openxmlformats.org/officeDocument/2006/relationships/hyperlink" Target="https://kaede-healing.jp/" TargetMode="External"/><Relationship Id="rId124" Type="http://schemas.openxmlformats.org/officeDocument/2006/relationships/hyperlink" Target="https://yui-uranai.com/" TargetMode="External"/><Relationship Id="rId123" Type="http://schemas.openxmlformats.org/officeDocument/2006/relationships/hyperlink" Target="https://tsumugi-spiritual.net/" TargetMode="External"/><Relationship Id="rId122" Type="http://schemas.openxmlformats.org/officeDocument/2006/relationships/hyperlink" Target="https://shiori-healing.com/" TargetMode="External"/><Relationship Id="rId95" Type="http://schemas.openxmlformats.org/officeDocument/2006/relationships/hyperlink" Target="https://kimotostudio21.netlify.app/0393/" TargetMode="External"/><Relationship Id="rId94" Type="http://schemas.openxmlformats.org/officeDocument/2006/relationships/hyperlink" Target="https://happy-fortune.com/" TargetMode="External"/><Relationship Id="rId97" Type="http://schemas.openxmlformats.org/officeDocument/2006/relationships/hyperlink" Target="https://kimotostudio21.netlify.app/0394/" TargetMode="External"/><Relationship Id="rId96" Type="http://schemas.openxmlformats.org/officeDocument/2006/relationships/hyperlink" Target="https://www.s-healing.com/" TargetMode="External"/><Relationship Id="rId99" Type="http://schemas.openxmlformats.org/officeDocument/2006/relationships/hyperlink" Target="https://kimotostudio21.netlify.app/0395/" TargetMode="External"/><Relationship Id="rId98" Type="http://schemas.openxmlformats.org/officeDocument/2006/relationships/hyperlink" Target="https://spiritually.jp" TargetMode="External"/><Relationship Id="rId91" Type="http://schemas.openxmlformats.org/officeDocument/2006/relationships/hyperlink" Target="https://kimotostudio21.netlify.app/0391/" TargetMode="External"/><Relationship Id="rId90" Type="http://schemas.openxmlformats.org/officeDocument/2006/relationships/hyperlink" Target="http://wajo.cocolog-nifty.com/" TargetMode="External"/><Relationship Id="rId93" Type="http://schemas.openxmlformats.org/officeDocument/2006/relationships/hyperlink" Target="https://kimotostudio21.netlify.app/0392/" TargetMode="External"/><Relationship Id="rId92" Type="http://schemas.openxmlformats.org/officeDocument/2006/relationships/hyperlink" Target="https://reserva.be/kyokotarot" TargetMode="External"/><Relationship Id="rId118" Type="http://schemas.openxmlformats.org/officeDocument/2006/relationships/hyperlink" Target="https://mio-uranai.com/" TargetMode="External"/><Relationship Id="rId117" Type="http://schemas.openxmlformats.org/officeDocument/2006/relationships/hyperlink" Target="https://nagi-spiritual.com/" TargetMode="External"/><Relationship Id="rId116" Type="http://schemas.openxmlformats.org/officeDocument/2006/relationships/hyperlink" Target="https://nozomi-healing.net/" TargetMode="External"/><Relationship Id="rId115" Type="http://schemas.openxmlformats.org/officeDocument/2006/relationships/hyperlink" Target="https://tsumugi-uranai.jp/" TargetMode="External"/><Relationship Id="rId119" Type="http://schemas.openxmlformats.org/officeDocument/2006/relationships/hyperlink" Target="https://aoi-healing.jp/" TargetMode="External"/><Relationship Id="rId110" Type="http://schemas.openxmlformats.org/officeDocument/2006/relationships/hyperlink" Target="http://www.kaiuns.com" TargetMode="External"/><Relationship Id="rId114" Type="http://schemas.openxmlformats.org/officeDocument/2006/relationships/hyperlink" Target="https://musubi-spiritual.com/" TargetMode="External"/><Relationship Id="rId113" Type="http://schemas.openxmlformats.org/officeDocument/2006/relationships/hyperlink" Target="https://ota-spiritual-yui.com/" TargetMode="External"/><Relationship Id="rId112" Type="http://schemas.openxmlformats.org/officeDocument/2006/relationships/hyperlink" Target="https://healingsalon-tsumugi.com/" TargetMode="External"/><Relationship Id="rId111" Type="http://schemas.openxmlformats.org/officeDocument/2006/relationships/hyperlink" Target="https://lovelight0207.com" TargetMode="External"/><Relationship Id="rId206" Type="http://schemas.openxmlformats.org/officeDocument/2006/relationships/hyperlink" Target="https://phiphi-fuchu.amebaownd.com/" TargetMode="External"/><Relationship Id="rId205" Type="http://schemas.openxmlformats.org/officeDocument/2006/relationships/hyperlink" Target="https://kimotostudio21.netlify.app/0481/" TargetMode="External"/><Relationship Id="rId204" Type="http://schemas.openxmlformats.org/officeDocument/2006/relationships/hyperlink" Target="https://2btamaki.jimdofree.com/" TargetMode="External"/><Relationship Id="rId203" Type="http://schemas.openxmlformats.org/officeDocument/2006/relationships/hyperlink" Target="https://kimotostudio21.netlify.app/0480/" TargetMode="External"/><Relationship Id="rId209" Type="http://schemas.openxmlformats.org/officeDocument/2006/relationships/hyperlink" Target="https://kimotostudio21.netlify.app/0483/" TargetMode="External"/><Relationship Id="rId208" Type="http://schemas.openxmlformats.org/officeDocument/2006/relationships/hyperlink" Target="https://serenite.live-web.jp/" TargetMode="External"/><Relationship Id="rId207" Type="http://schemas.openxmlformats.org/officeDocument/2006/relationships/hyperlink" Target="https://kimotostudio21.netlify.app/0482/" TargetMode="External"/><Relationship Id="rId202" Type="http://schemas.openxmlformats.org/officeDocument/2006/relationships/hyperlink" Target="https://hollyhock.amebaownd.com/" TargetMode="External"/><Relationship Id="rId201" Type="http://schemas.openxmlformats.org/officeDocument/2006/relationships/hyperlink" Target="https://kimotostudio21.netlify.app/0479/" TargetMode="External"/><Relationship Id="rId200" Type="http://schemas.openxmlformats.org/officeDocument/2006/relationships/hyperlink" Target="https://nornir-room.com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kimotostudio21.netlify.app/0512/" TargetMode="External"/><Relationship Id="rId42" Type="http://schemas.openxmlformats.org/officeDocument/2006/relationships/hyperlink" Target="https://kimotostudio21.netlify.app/0513/" TargetMode="External"/><Relationship Id="rId41" Type="http://schemas.openxmlformats.org/officeDocument/2006/relationships/hyperlink" Target="https://fortune-telling.wixsite.com/core" TargetMode="External"/><Relationship Id="rId44" Type="http://schemas.openxmlformats.org/officeDocument/2006/relationships/hyperlink" Target="https://kimotostudio21.netlify.app/0514/" TargetMode="External"/><Relationship Id="rId43" Type="http://schemas.openxmlformats.org/officeDocument/2006/relationships/hyperlink" Target="https://seedoflife-rapture.com/" TargetMode="External"/><Relationship Id="rId46" Type="http://schemas.openxmlformats.org/officeDocument/2006/relationships/hyperlink" Target="https://kimotostudio21.netlify.app/0515/" TargetMode="External"/><Relationship Id="rId45" Type="http://schemas.openxmlformats.org/officeDocument/2006/relationships/hyperlink" Target="https://www.nijinotenshi.net/" TargetMode="External"/><Relationship Id="rId48" Type="http://schemas.openxmlformats.org/officeDocument/2006/relationships/hyperlink" Target="https://kimotostudio21.netlify.app/0516/" TargetMode="External"/><Relationship Id="rId47" Type="http://schemas.openxmlformats.org/officeDocument/2006/relationships/hyperlink" Target="https://hachiouji-uranai.com/" TargetMode="External"/><Relationship Id="rId49" Type="http://schemas.openxmlformats.org/officeDocument/2006/relationships/hyperlink" Target="https://healing-sora.com/" TargetMode="External"/><Relationship Id="rId31" Type="http://schemas.openxmlformats.org/officeDocument/2006/relationships/hyperlink" Target="https://nenjyu.jp/" TargetMode="External"/><Relationship Id="rId30" Type="http://schemas.openxmlformats.org/officeDocument/2006/relationships/hyperlink" Target="https://kimotostudio21.netlify.app/0507/" TargetMode="External"/><Relationship Id="rId33" Type="http://schemas.openxmlformats.org/officeDocument/2006/relationships/hyperlink" Target="https://smc7.net/counseling/" TargetMode="External"/><Relationship Id="rId32" Type="http://schemas.openxmlformats.org/officeDocument/2006/relationships/hyperlink" Target="https://kimotostudio21.netlify.app/0508/" TargetMode="External"/><Relationship Id="rId35" Type="http://schemas.openxmlformats.org/officeDocument/2006/relationships/hyperlink" Target="https://apollo-garden.com/" TargetMode="External"/><Relationship Id="rId34" Type="http://schemas.openxmlformats.org/officeDocument/2006/relationships/hyperlink" Target="https://kimotostudio21.netlify.app/0509/" TargetMode="External"/><Relationship Id="rId37" Type="http://schemas.openxmlformats.org/officeDocument/2006/relationships/hyperlink" Target="http://www.salon-megumi.com/" TargetMode="External"/><Relationship Id="rId36" Type="http://schemas.openxmlformats.org/officeDocument/2006/relationships/hyperlink" Target="https://kimotostudio21.netlify.app/0510/" TargetMode="External"/><Relationship Id="rId39" Type="http://schemas.openxmlformats.org/officeDocument/2006/relationships/hyperlink" Target="http://www.cafevani.com/" TargetMode="External"/><Relationship Id="rId38" Type="http://schemas.openxmlformats.org/officeDocument/2006/relationships/hyperlink" Target="https://kimotostudio21.netlify.app/0511/" TargetMode="External"/><Relationship Id="rId20" Type="http://schemas.openxmlformats.org/officeDocument/2006/relationships/hyperlink" Target="https://kimotostudio21.netlify.app/0502/" TargetMode="External"/><Relationship Id="rId22" Type="http://schemas.openxmlformats.org/officeDocument/2006/relationships/hyperlink" Target="https://kimotostudio21.netlify.app/0503/" TargetMode="External"/><Relationship Id="rId21" Type="http://schemas.openxmlformats.org/officeDocument/2006/relationships/hyperlink" Target="https://uranai-hana.com/" TargetMode="External"/><Relationship Id="rId24" Type="http://schemas.openxmlformats.org/officeDocument/2006/relationships/hyperlink" Target="https://kimotostudio21.netlify.app/0504/" TargetMode="External"/><Relationship Id="rId23" Type="http://schemas.openxmlformats.org/officeDocument/2006/relationships/hyperlink" Target="https://tarot-yui.com/" TargetMode="External"/><Relationship Id="rId26" Type="http://schemas.openxmlformats.org/officeDocument/2006/relationships/hyperlink" Target="https://kimotostudio21.netlify.app/0505/" TargetMode="External"/><Relationship Id="rId25" Type="http://schemas.openxmlformats.org/officeDocument/2006/relationships/hyperlink" Target="https://ryunome.com/" TargetMode="External"/><Relationship Id="rId28" Type="http://schemas.openxmlformats.org/officeDocument/2006/relationships/hyperlink" Target="https://kimotostudio21.netlify.app/0506/" TargetMode="External"/><Relationship Id="rId27" Type="http://schemas.openxmlformats.org/officeDocument/2006/relationships/hyperlink" Target="https://healing-sora.com/" TargetMode="External"/><Relationship Id="rId29" Type="http://schemas.openxmlformats.org/officeDocument/2006/relationships/hyperlink" Target="https://nijitensi-kanariharu.com/" TargetMode="External"/><Relationship Id="rId11" Type="http://schemas.openxmlformats.org/officeDocument/2006/relationships/hyperlink" Target="https://p0dhy.hp.peraichi.com/" TargetMode="External"/><Relationship Id="rId10" Type="http://schemas.openxmlformats.org/officeDocument/2006/relationships/hyperlink" Target="https://kimotostudio21.netlify.app/0497/" TargetMode="External"/><Relationship Id="rId13" Type="http://schemas.openxmlformats.org/officeDocument/2006/relationships/hyperlink" Target="https://seedoflife-rapture.com/" TargetMode="External"/><Relationship Id="rId12" Type="http://schemas.openxmlformats.org/officeDocument/2006/relationships/hyperlink" Target="https://kimotostudio21.netlify.app/0498/" TargetMode="External"/><Relationship Id="rId15" Type="http://schemas.openxmlformats.org/officeDocument/2006/relationships/hyperlink" Target="https://www.nijinotenshi.net/" TargetMode="External"/><Relationship Id="rId14" Type="http://schemas.openxmlformats.org/officeDocument/2006/relationships/hyperlink" Target="https://kimotostudio21.netlify.app/0499/" TargetMode="External"/><Relationship Id="rId17" Type="http://schemas.openxmlformats.org/officeDocument/2006/relationships/hyperlink" Target="https://nene-no-heya.com/" TargetMode="External"/><Relationship Id="rId16" Type="http://schemas.openxmlformats.org/officeDocument/2006/relationships/hyperlink" Target="https://kimotostudio21.netlify.app/0500/" TargetMode="External"/><Relationship Id="rId19" Type="http://schemas.openxmlformats.org/officeDocument/2006/relationships/hyperlink" Target="https://hachiouji-uranai.com/" TargetMode="External"/><Relationship Id="rId18" Type="http://schemas.openxmlformats.org/officeDocument/2006/relationships/hyperlink" Target="https://kimotostudio21.netlify.app/0501/" TargetMode="External"/><Relationship Id="rId84" Type="http://schemas.openxmlformats.org/officeDocument/2006/relationships/hyperlink" Target="https://yui-kaiun-chofu.com/" TargetMode="External"/><Relationship Id="rId83" Type="http://schemas.openxmlformats.org/officeDocument/2006/relationships/hyperlink" Target="https://kimotostudio21.netlify.app/0534/" TargetMode="External"/><Relationship Id="rId86" Type="http://schemas.openxmlformats.org/officeDocument/2006/relationships/hyperlink" Target="https://rojiura-uranai.com/" TargetMode="External"/><Relationship Id="rId85" Type="http://schemas.openxmlformats.org/officeDocument/2006/relationships/hyperlink" Target="https://kimotostudio21.netlify.app/0535/" TargetMode="External"/><Relationship Id="rId88" Type="http://schemas.openxmlformats.org/officeDocument/2006/relationships/hyperlink" Target="https://shinkiko-chofu.com/" TargetMode="External"/><Relationship Id="rId87" Type="http://schemas.openxmlformats.org/officeDocument/2006/relationships/hyperlink" Target="https://kimotostudio21.netlify.app/0536/" TargetMode="External"/><Relationship Id="rId89" Type="http://schemas.openxmlformats.org/officeDocument/2006/relationships/hyperlink" Target="https://kimotostudio21.netlify.app/0537/" TargetMode="External"/><Relationship Id="rId80" Type="http://schemas.openxmlformats.org/officeDocument/2006/relationships/hyperlink" Target="https://drt-chofu.com/" TargetMode="External"/><Relationship Id="rId82" Type="http://schemas.openxmlformats.org/officeDocument/2006/relationships/hyperlink" Target="https://kobayashi-ms.com/" TargetMode="External"/><Relationship Id="rId81" Type="http://schemas.openxmlformats.org/officeDocument/2006/relationships/hyperlink" Target="https://kimotostudio21.netlify.app/0533/" TargetMode="External"/><Relationship Id="rId1" Type="http://schemas.openxmlformats.org/officeDocument/2006/relationships/hyperlink" Target="http://shikoukan.blog.fc2.com/" TargetMode="External"/><Relationship Id="rId2" Type="http://schemas.openxmlformats.org/officeDocument/2006/relationships/hyperlink" Target="https://kimotostudio21.netlify.app/0493/" TargetMode="External"/><Relationship Id="rId3" Type="http://schemas.openxmlformats.org/officeDocument/2006/relationships/hyperlink" Target="https://fortune-telling.wixsite.com/core" TargetMode="External"/><Relationship Id="rId4" Type="http://schemas.openxmlformats.org/officeDocument/2006/relationships/hyperlink" Target="https://kimotostudio21.netlify.app/0494/" TargetMode="External"/><Relationship Id="rId9" Type="http://schemas.openxmlformats.org/officeDocument/2006/relationships/hyperlink" Target="http://www.cafevani.com/" TargetMode="External"/><Relationship Id="rId5" Type="http://schemas.openxmlformats.org/officeDocument/2006/relationships/hyperlink" Target="https://r.goope.jp/fortune-jyujyu/" TargetMode="External"/><Relationship Id="rId6" Type="http://schemas.openxmlformats.org/officeDocument/2006/relationships/hyperlink" Target="https://kimotostudio21.netlify.app/0495/" TargetMode="External"/><Relationship Id="rId7" Type="http://schemas.openxmlformats.org/officeDocument/2006/relationships/hyperlink" Target="http://www.salon-megumi.com/" TargetMode="External"/><Relationship Id="rId8" Type="http://schemas.openxmlformats.org/officeDocument/2006/relationships/hyperlink" Target="https://kimotostudio21.netlify.app/0496/" TargetMode="External"/><Relationship Id="rId73" Type="http://schemas.openxmlformats.org/officeDocument/2006/relationships/hyperlink" Target="https://kimotostudio21.netlify.app/0529/" TargetMode="External"/><Relationship Id="rId72" Type="http://schemas.openxmlformats.org/officeDocument/2006/relationships/hyperlink" Target="https://healing-sora.com/" TargetMode="External"/><Relationship Id="rId75" Type="http://schemas.openxmlformats.org/officeDocument/2006/relationships/hyperlink" Target="https://kimotostudio21.netlify.app/0530/" TargetMode="External"/><Relationship Id="rId74" Type="http://schemas.openxmlformats.org/officeDocument/2006/relationships/hyperlink" Target="https://tarot-yui.com/" TargetMode="External"/><Relationship Id="rId77" Type="http://schemas.openxmlformats.org/officeDocument/2006/relationships/hyperlink" Target="https://kimotostudio21.netlify.app/0531/" TargetMode="External"/><Relationship Id="rId76" Type="http://schemas.openxmlformats.org/officeDocument/2006/relationships/hyperlink" Target="https://chakra-art.com/" TargetMode="External"/><Relationship Id="rId79" Type="http://schemas.openxmlformats.org/officeDocument/2006/relationships/hyperlink" Target="https://kimotostudio21.netlify.app/0532/" TargetMode="External"/><Relationship Id="rId78" Type="http://schemas.openxmlformats.org/officeDocument/2006/relationships/hyperlink" Target="https://sanmeigaku-chofu.com/" TargetMode="External"/><Relationship Id="rId71" Type="http://schemas.openxmlformats.org/officeDocument/2006/relationships/hyperlink" Target="https://kimotostudio21.netlify.app/0528/" TargetMode="External"/><Relationship Id="rId70" Type="http://schemas.openxmlformats.org/officeDocument/2006/relationships/hyperlink" Target="https://ryunome-chofu.com/" TargetMode="External"/><Relationship Id="rId132" Type="http://schemas.openxmlformats.org/officeDocument/2006/relationships/hyperlink" Target="https://shanti8.jimdofree.com/" TargetMode="External"/><Relationship Id="rId131" Type="http://schemas.openxmlformats.org/officeDocument/2006/relationships/hyperlink" Target="https://mimiyogasmile.jimdoweb.com/" TargetMode="External"/><Relationship Id="rId130" Type="http://schemas.openxmlformats.org/officeDocument/2006/relationships/hyperlink" Target="https://a3kaku.jimdofree.com/" TargetMode="External"/><Relationship Id="rId136" Type="http://schemas.openxmlformats.org/officeDocument/2006/relationships/drawing" Target="../drawings/drawing3.xml"/><Relationship Id="rId135" Type="http://schemas.openxmlformats.org/officeDocument/2006/relationships/hyperlink" Target="https://r.goope.jp/lafemme/" TargetMode="External"/><Relationship Id="rId134" Type="http://schemas.openxmlformats.org/officeDocument/2006/relationships/hyperlink" Target="https://www.asagoya.net/" TargetMode="External"/><Relationship Id="rId133" Type="http://schemas.openxmlformats.org/officeDocument/2006/relationships/hyperlink" Target="https://www.channeling-cafe.com/" TargetMode="External"/><Relationship Id="rId62" Type="http://schemas.openxmlformats.org/officeDocument/2006/relationships/hyperlink" Target="https://reiro.crayonsite.info/" TargetMode="External"/><Relationship Id="rId61" Type="http://schemas.openxmlformats.org/officeDocument/2006/relationships/hyperlink" Target="https://kimotostudio21.netlify.app/0523/" TargetMode="External"/><Relationship Id="rId64" Type="http://schemas.openxmlformats.org/officeDocument/2006/relationships/hyperlink" Target="https://reishi-sakura.com/" TargetMode="External"/><Relationship Id="rId63" Type="http://schemas.openxmlformats.org/officeDocument/2006/relationships/hyperlink" Target="https://kimotostudio21.netlify.app/0524/" TargetMode="External"/><Relationship Id="rId66" Type="http://schemas.openxmlformats.org/officeDocument/2006/relationships/hyperlink" Target="https://reiki-chofu.com/" TargetMode="External"/><Relationship Id="rId65" Type="http://schemas.openxmlformats.org/officeDocument/2006/relationships/hyperlink" Target="https://kimotostudio21.netlify.app/0525/" TargetMode="External"/><Relationship Id="rId68" Type="http://schemas.openxmlformats.org/officeDocument/2006/relationships/hyperlink" Target="https://yui-kaiun.com/" TargetMode="External"/><Relationship Id="rId67" Type="http://schemas.openxmlformats.org/officeDocument/2006/relationships/hyperlink" Target="https://kimotostudio21.netlify.app/0526/" TargetMode="External"/><Relationship Id="rId60" Type="http://schemas.openxmlformats.org/officeDocument/2006/relationships/hyperlink" Target="https://mahinaohoku.wixsite.com/lomilomi" TargetMode="External"/><Relationship Id="rId69" Type="http://schemas.openxmlformats.org/officeDocument/2006/relationships/hyperlink" Target="https://kimotostudio21.netlify.app/0527/" TargetMode="External"/><Relationship Id="rId51" Type="http://schemas.openxmlformats.org/officeDocument/2006/relationships/hyperlink" Target="https://tarot-yui.com/" TargetMode="External"/><Relationship Id="rId50" Type="http://schemas.openxmlformats.org/officeDocument/2006/relationships/hyperlink" Target="https://kimotostudio21.netlify.app/0517/" TargetMode="External"/><Relationship Id="rId53" Type="http://schemas.openxmlformats.org/officeDocument/2006/relationships/hyperlink" Target="https://kimotostudio21.netlify.app/0519/" TargetMode="External"/><Relationship Id="rId52" Type="http://schemas.openxmlformats.org/officeDocument/2006/relationships/hyperlink" Target="https://kimotostudio21.netlify.app/0518/" TargetMode="External"/><Relationship Id="rId55" Type="http://schemas.openxmlformats.org/officeDocument/2006/relationships/hyperlink" Target="https://kimotostudio21.netlify.app/0520/" TargetMode="External"/><Relationship Id="rId54" Type="http://schemas.openxmlformats.org/officeDocument/2006/relationships/hyperlink" Target="https://fore-nail.com/" TargetMode="External"/><Relationship Id="rId57" Type="http://schemas.openxmlformats.org/officeDocument/2006/relationships/hyperlink" Target="https://kimotostudio21.netlify.app/0521/" TargetMode="External"/><Relationship Id="rId56" Type="http://schemas.openxmlformats.org/officeDocument/2006/relationships/hyperlink" Target="https://shibitosu-uranai-enishi.jimdofree.com/" TargetMode="External"/><Relationship Id="rId59" Type="http://schemas.openxmlformats.org/officeDocument/2006/relationships/hyperlink" Target="https://kimotostudio21.netlify.app/0522/" TargetMode="External"/><Relationship Id="rId58" Type="http://schemas.openxmlformats.org/officeDocument/2006/relationships/hyperlink" Target="https://chofu.com/bamboo" TargetMode="External"/><Relationship Id="rId107" Type="http://schemas.openxmlformats.org/officeDocument/2006/relationships/hyperlink" Target="http://luna104.net/" TargetMode="External"/><Relationship Id="rId106" Type="http://schemas.openxmlformats.org/officeDocument/2006/relationships/hyperlink" Target="https://beautyloungejune.wixsite.com/june/touch-healing" TargetMode="External"/><Relationship Id="rId105" Type="http://schemas.openxmlformats.org/officeDocument/2006/relationships/hyperlink" Target="https://www.shiomi-counseling.jp/" TargetMode="External"/><Relationship Id="rId104" Type="http://schemas.openxmlformats.org/officeDocument/2006/relationships/hyperlink" Target="https://office-tkm.co.jp/" TargetMode="External"/><Relationship Id="rId109" Type="http://schemas.openxmlformats.org/officeDocument/2006/relationships/hyperlink" Target="https://heartbody.net/" TargetMode="External"/><Relationship Id="rId108" Type="http://schemas.openxmlformats.org/officeDocument/2006/relationships/hyperlink" Target="https://kokoronotsubasa-magome.com/" TargetMode="External"/><Relationship Id="rId103" Type="http://schemas.openxmlformats.org/officeDocument/2006/relationships/hyperlink" Target="https://www.therapeia.jp/" TargetMode="External"/><Relationship Id="rId102" Type="http://schemas.openxmlformats.org/officeDocument/2006/relationships/hyperlink" Target="https://www.higashinakano-shinrisoudan.com/" TargetMode="External"/><Relationship Id="rId101" Type="http://schemas.openxmlformats.org/officeDocument/2006/relationships/hyperlink" Target="https://librarelaxationroom.wixsite.com/libra" TargetMode="External"/><Relationship Id="rId100" Type="http://schemas.openxmlformats.org/officeDocument/2006/relationships/hyperlink" Target="http://aromaroomcitrus.jp/" TargetMode="External"/><Relationship Id="rId129" Type="http://schemas.openxmlformats.org/officeDocument/2006/relationships/hyperlink" Target="https://kokorotokaradanosoudansitsu.jimdofree.com/" TargetMode="External"/><Relationship Id="rId128" Type="http://schemas.openxmlformats.org/officeDocument/2006/relationships/hyperlink" Target="https://heartliftup.amebaownd.com/" TargetMode="External"/><Relationship Id="rId127" Type="http://schemas.openxmlformats.org/officeDocument/2006/relationships/hyperlink" Target="https://bosan32000.wixsite.com/sinsindo/%E8%A4%87%E8%A3%BD-%E5%80%8B%E4%BA%BA%EF%BD%BE%EF%BD%AF%EF%BD%BC%EF%BD%AE%EF%BE%9D" TargetMode="External"/><Relationship Id="rId126" Type="http://schemas.openxmlformats.org/officeDocument/2006/relationships/hyperlink" Target="http://awoke.jimdo.com/" TargetMode="External"/><Relationship Id="rId121" Type="http://schemas.openxmlformats.org/officeDocument/2006/relationships/hyperlink" Target="https://www.kimochi-salon222.com/" TargetMode="External"/><Relationship Id="rId120" Type="http://schemas.openxmlformats.org/officeDocument/2006/relationships/hyperlink" Target="https://lemongrass-salon.com/" TargetMode="External"/><Relationship Id="rId125" Type="http://schemas.openxmlformats.org/officeDocument/2006/relationships/hyperlink" Target="https://kewarra-bodyhealing.jimdofree.com/" TargetMode="External"/><Relationship Id="rId124" Type="http://schemas.openxmlformats.org/officeDocument/2006/relationships/hyperlink" Target="https://jutolycaroma.jimdofree.com/" TargetMode="External"/><Relationship Id="rId123" Type="http://schemas.openxmlformats.org/officeDocument/2006/relationships/hyperlink" Target="https://fumiamie.jimdofree.com/" TargetMode="External"/><Relationship Id="rId122" Type="http://schemas.openxmlformats.org/officeDocument/2006/relationships/hyperlink" Target="https://kokoururu8.jimdofree.com/" TargetMode="External"/><Relationship Id="rId95" Type="http://schemas.openxmlformats.org/officeDocument/2006/relationships/hyperlink" Target="https://kimotostudio21.netlify.app/0540/" TargetMode="External"/><Relationship Id="rId94" Type="http://schemas.openxmlformats.org/officeDocument/2006/relationships/hyperlink" Target="https://reiki-chofu.com/" TargetMode="External"/><Relationship Id="rId97" Type="http://schemas.openxmlformats.org/officeDocument/2006/relationships/hyperlink" Target="https://kimotostudio21.netlify.app/0541/" TargetMode="External"/><Relationship Id="rId96" Type="http://schemas.openxmlformats.org/officeDocument/2006/relationships/hyperlink" Target="https://yui-kaiun.com/" TargetMode="External"/><Relationship Id="rId99" Type="http://schemas.openxmlformats.org/officeDocument/2006/relationships/hyperlink" Target="https://kimotostudio21.netlify.app/0542/" TargetMode="External"/><Relationship Id="rId98" Type="http://schemas.openxmlformats.org/officeDocument/2006/relationships/hyperlink" Target="https://ryunome-chofu.com/" TargetMode="External"/><Relationship Id="rId91" Type="http://schemas.openxmlformats.org/officeDocument/2006/relationships/hyperlink" Target="https://kimotostudio21.netlify.app/0538/" TargetMode="External"/><Relationship Id="rId90" Type="http://schemas.openxmlformats.org/officeDocument/2006/relationships/hyperlink" Target="https://ryunome-chofu.com/" TargetMode="External"/><Relationship Id="rId93" Type="http://schemas.openxmlformats.org/officeDocument/2006/relationships/hyperlink" Target="https://kimotostudio21.netlify.app/0539/" TargetMode="External"/><Relationship Id="rId92" Type="http://schemas.openxmlformats.org/officeDocument/2006/relationships/hyperlink" Target="https://healing-sora.com/" TargetMode="External"/><Relationship Id="rId118" Type="http://schemas.openxmlformats.org/officeDocument/2006/relationships/hyperlink" Target="https://hot-mayma-healer.com/" TargetMode="External"/><Relationship Id="rId117" Type="http://schemas.openxmlformats.org/officeDocument/2006/relationships/hyperlink" Target="https://hakoniwasalon.com/" TargetMode="External"/><Relationship Id="rId116" Type="http://schemas.openxmlformats.org/officeDocument/2006/relationships/hyperlink" Target="https://yururi2020.jimdofree.com/" TargetMode="External"/><Relationship Id="rId115" Type="http://schemas.openxmlformats.org/officeDocument/2006/relationships/hyperlink" Target="https://www.coroom.tokyo/" TargetMode="External"/><Relationship Id="rId119" Type="http://schemas.openxmlformats.org/officeDocument/2006/relationships/hyperlink" Target="https://hoken-shitsu.com/" TargetMode="External"/><Relationship Id="rId110" Type="http://schemas.openxmlformats.org/officeDocument/2006/relationships/hyperlink" Target="https://www.eiseinetwork.com/rikott/" TargetMode="External"/><Relationship Id="rId114" Type="http://schemas.openxmlformats.org/officeDocument/2006/relationships/hyperlink" Target="https://benpikaishosalon.wordpress.com/" TargetMode="External"/><Relationship Id="rId113" Type="http://schemas.openxmlformats.org/officeDocument/2006/relationships/hyperlink" Target="https://aonosizuku.snapsalon.jp/" TargetMode="External"/><Relationship Id="rId112" Type="http://schemas.openxmlformats.org/officeDocument/2006/relationships/hyperlink" Target="https://sparklingself333.wixsite.com/my-site/treatments" TargetMode="External"/><Relationship Id="rId111" Type="http://schemas.openxmlformats.org/officeDocument/2006/relationships/hyperlink" Target="https://lovelight0207.com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uranai-ren.com/,%E2%97%8B,%E6%A7%8B%E6%88%90%E3%81%8C%E3%81%97%E3%81%A3%E3%81%8B%E3%82%8A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t-chofu.com/" TargetMode="External"/><Relationship Id="rId42" Type="http://schemas.openxmlformats.org/officeDocument/2006/relationships/hyperlink" Target="https://tarot-station.jp/" TargetMode="External"/><Relationship Id="rId41" Type="http://schemas.openxmlformats.org/officeDocument/2006/relationships/hyperlink" Target="https://kobayashi-ms.com/" TargetMode="External"/><Relationship Id="rId44" Type="http://schemas.openxmlformats.org/officeDocument/2006/relationships/hyperlink" Target="https://aoi-jinja.com/" TargetMode="External"/><Relationship Id="rId43" Type="http://schemas.openxmlformats.org/officeDocument/2006/relationships/hyperlink" Target="https://yui-kaiun-chofu.com/" TargetMode="External"/><Relationship Id="rId46" Type="http://schemas.openxmlformats.org/officeDocument/2006/relationships/hyperlink" Target="https://chronicle-healing.com/" TargetMode="External"/><Relationship Id="rId45" Type="http://schemas.openxmlformats.org/officeDocument/2006/relationships/hyperlink" Target="https://aqua-healing.jp/" TargetMode="External"/><Relationship Id="rId48" Type="http://schemas.openxmlformats.org/officeDocument/2006/relationships/hyperlink" Target="https://shinkiko-chofu.com/" TargetMode="External"/><Relationship Id="rId47" Type="http://schemas.openxmlformats.org/officeDocument/2006/relationships/hyperlink" Target="https://rojiura-uranai.com/" TargetMode="External"/><Relationship Id="rId49" Type="http://schemas.openxmlformats.org/officeDocument/2006/relationships/hyperlink" Target="https://houounotsubasa-chofu.com/" TargetMode="External"/><Relationship Id="rId31" Type="http://schemas.openxmlformats.org/officeDocument/2006/relationships/hyperlink" Target="https://healing-kanade.com/" TargetMode="External"/><Relationship Id="rId30" Type="http://schemas.openxmlformats.org/officeDocument/2006/relationships/hyperlink" Target="https://healing-kanade.com/,%E2%97%8B,%E5%86%99%E7%9C%9F%E3%81%8C%E8%B1%8A%E5%AF%8C%E3%81%A7%E9%9B%B0%E5%9B%B2%E6%B0%97%E3%81%8C%E8%89%AF%E3%81%84" TargetMode="External"/><Relationship Id="rId33" Type="http://schemas.openxmlformats.org/officeDocument/2006/relationships/hyperlink" Target="https://www.cosmobright.com/" TargetMode="External"/><Relationship Id="rId32" Type="http://schemas.openxmlformats.org/officeDocument/2006/relationships/hyperlink" Target="https://iyakochi.com/" TargetMode="External"/><Relationship Id="rId35" Type="http://schemas.openxmlformats.org/officeDocument/2006/relationships/hyperlink" Target="https://ko-ge.jp/" TargetMode="External"/><Relationship Id="rId34" Type="http://schemas.openxmlformats.org/officeDocument/2006/relationships/hyperlink" Target="https://universe-angel.com/" TargetMode="External"/><Relationship Id="rId37" Type="http://schemas.openxmlformats.org/officeDocument/2006/relationships/hyperlink" Target="https://sanmeigaku-chofu.com/" TargetMode="External"/><Relationship Id="rId36" Type="http://schemas.openxmlformats.org/officeDocument/2006/relationships/hyperlink" Target="https://chakra-art.com/" TargetMode="External"/><Relationship Id="rId39" Type="http://schemas.openxmlformats.org/officeDocument/2006/relationships/hyperlink" Target="https://shinkiko.com/" TargetMode="External"/><Relationship Id="rId38" Type="http://schemas.openxmlformats.org/officeDocument/2006/relationships/hyperlink" Target="https://lila-healing.com/" TargetMode="External"/><Relationship Id="rId20" Type="http://schemas.openxmlformats.org/officeDocument/2006/relationships/hyperlink" Target="https://yui-kaiun.com/" TargetMode="External"/><Relationship Id="rId22" Type="http://schemas.openxmlformats.org/officeDocument/2006/relationships/hyperlink" Target="https://ryunome-chofu.com/" TargetMode="External"/><Relationship Id="rId21" Type="http://schemas.openxmlformats.org/officeDocument/2006/relationships/hyperlink" Target="https://healing-sora-chofu.com/" TargetMode="External"/><Relationship Id="rId24" Type="http://schemas.openxmlformats.org/officeDocument/2006/relationships/hyperlink" Target="https://chofu-teso.com/" TargetMode="External"/><Relationship Id="rId23" Type="http://schemas.openxmlformats.org/officeDocument/2006/relationships/hyperlink" Target="https://rin-chofu.com/" TargetMode="External"/><Relationship Id="rId26" Type="http://schemas.openxmlformats.org/officeDocument/2006/relationships/hyperlink" Target="https://uranai-ren.com/" TargetMode="External"/><Relationship Id="rId25" Type="http://schemas.openxmlformats.org/officeDocument/2006/relationships/hyperlink" Target="https://healing-sora.com/" TargetMode="External"/><Relationship Id="rId28" Type="http://schemas.openxmlformats.org/officeDocument/2006/relationships/hyperlink" Target="https://reiki-hachioji.com/" TargetMode="External"/><Relationship Id="rId27" Type="http://schemas.openxmlformats.org/officeDocument/2006/relationships/hyperlink" Target="https://spiritual-jiai.com/" TargetMode="External"/><Relationship Id="rId29" Type="http://schemas.openxmlformats.org/officeDocument/2006/relationships/hyperlink" Target="https://tarot-yui.com/" TargetMode="External"/><Relationship Id="rId11" Type="http://schemas.openxmlformats.org/officeDocument/2006/relationships/hyperlink" Target="https://reiro.crayonsite.info/" TargetMode="External"/><Relationship Id="rId10" Type="http://schemas.openxmlformats.org/officeDocument/2006/relationships/hyperlink" Target="https://reika-school.com/" TargetMode="External"/><Relationship Id="rId13" Type="http://schemas.openxmlformats.org/officeDocument/2006/relationships/hyperlink" Target="https://defi-salon.com/" TargetMode="External"/><Relationship Id="rId12" Type="http://schemas.openxmlformats.org/officeDocument/2006/relationships/hyperlink" Target="https://chofu.com/st_maurice" TargetMode="External"/><Relationship Id="rId15" Type="http://schemas.openxmlformats.org/officeDocument/2006/relationships/hyperlink" Target="https://houounotsubasa.com/" TargetMode="External"/><Relationship Id="rId14" Type="http://schemas.openxmlformats.org/officeDocument/2006/relationships/hyperlink" Target="https://www.fore-nail.com/" TargetMode="External"/><Relationship Id="rId17" Type="http://schemas.openxmlformats.org/officeDocument/2006/relationships/hyperlink" Target="https://chofu-haha.com/" TargetMode="External"/><Relationship Id="rId16" Type="http://schemas.openxmlformats.org/officeDocument/2006/relationships/hyperlink" Target="https://reishi-sakura.com/" TargetMode="External"/><Relationship Id="rId19" Type="http://schemas.openxmlformats.org/officeDocument/2006/relationships/hyperlink" Target="https://tarot-kanade.com/" TargetMode="External"/><Relationship Id="rId18" Type="http://schemas.openxmlformats.org/officeDocument/2006/relationships/hyperlink" Target="https://reiki-chofu.com/" TargetMode="External"/><Relationship Id="rId1" Type="http://schemas.openxmlformats.org/officeDocument/2006/relationships/hyperlink" Target="https://fore-nail.com/" TargetMode="External"/><Relationship Id="rId2" Type="http://schemas.openxmlformats.org/officeDocument/2006/relationships/hyperlink" Target="https://www.kanerion.com/" TargetMode="External"/><Relationship Id="rId3" Type="http://schemas.openxmlformats.org/officeDocument/2006/relationships/hyperlink" Target="https://benir-uranai.com/" TargetMode="External"/><Relationship Id="rId4" Type="http://schemas.openxmlformats.org/officeDocument/2006/relationships/hyperlink" Target="https://shibitosu-uranai-enishi.jimdofree.com/" TargetMode="External"/><Relationship Id="rId9" Type="http://schemas.openxmlformats.org/officeDocument/2006/relationships/hyperlink" Target="https://b-snow.com/" TargetMode="External"/><Relationship Id="rId5" Type="http://schemas.openxmlformats.org/officeDocument/2006/relationships/hyperlink" Target="https://chofu.com/bamboo" TargetMode="External"/><Relationship Id="rId6" Type="http://schemas.openxmlformats.org/officeDocument/2006/relationships/hyperlink" Target="https://www.taiyokaiunkenkyujo.com/" TargetMode="External"/><Relationship Id="rId7" Type="http://schemas.openxmlformats.org/officeDocument/2006/relationships/hyperlink" Target="https://mahinaohoku.wixsite.com/lomilomi" TargetMode="External"/><Relationship Id="rId8" Type="http://schemas.openxmlformats.org/officeDocument/2006/relationships/hyperlink" Target="https://www.uzumaki-aroma.com/" TargetMode="External"/><Relationship Id="rId62" Type="http://schemas.openxmlformats.org/officeDocument/2006/relationships/drawing" Target="../drawings/drawing5.xml"/><Relationship Id="rId61" Type="http://schemas.openxmlformats.org/officeDocument/2006/relationships/hyperlink" Target="https://ryunome-chofu.com/" TargetMode="External"/><Relationship Id="rId60" Type="http://schemas.openxmlformats.org/officeDocument/2006/relationships/hyperlink" Target="https://healing-sora-chofu.com/" TargetMode="External"/><Relationship Id="rId51" Type="http://schemas.openxmlformats.org/officeDocument/2006/relationships/hyperlink" Target="https://ryunome-chofu.com/" TargetMode="External"/><Relationship Id="rId50" Type="http://schemas.openxmlformats.org/officeDocument/2006/relationships/hyperlink" Target="https://healing-sora-chofu.com/" TargetMode="External"/><Relationship Id="rId53" Type="http://schemas.openxmlformats.org/officeDocument/2006/relationships/hyperlink" Target="https://chofu-teso.com/" TargetMode="External"/><Relationship Id="rId52" Type="http://schemas.openxmlformats.org/officeDocument/2006/relationships/hyperlink" Target="https://rin-chofu.com/" TargetMode="External"/><Relationship Id="rId55" Type="http://schemas.openxmlformats.org/officeDocument/2006/relationships/hyperlink" Target="https://uranai-ren.com/" TargetMode="External"/><Relationship Id="rId54" Type="http://schemas.openxmlformats.org/officeDocument/2006/relationships/hyperlink" Target="https://healing-sora.com/" TargetMode="External"/><Relationship Id="rId57" Type="http://schemas.openxmlformats.org/officeDocument/2006/relationships/hyperlink" Target="https://reiki-chofu.com/" TargetMode="External"/><Relationship Id="rId56" Type="http://schemas.openxmlformats.org/officeDocument/2006/relationships/hyperlink" Target="https://spiritual-jiai.com/" TargetMode="External"/><Relationship Id="rId59" Type="http://schemas.openxmlformats.org/officeDocument/2006/relationships/hyperlink" Target="https://yui-kaiun.com/" TargetMode="External"/><Relationship Id="rId58" Type="http://schemas.openxmlformats.org/officeDocument/2006/relationships/hyperlink" Target="https://tarot-kanade.com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aaroma.com/about,%E2%97%8B,%E5%AE%89%E5%AE%9A%E9%81%8B%E7%94%A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happiness-nerima.com/,%E2%97%8B,%E3%82%B3%E3%83%9F%E3%83%A5%E3%83%8B%E3%83%86%E3%82%A3%E3%82%B5%E3%83%AD%E3%83%B3%E3%81%A7%E6%A7%8B%E6%88%90%E8%89%AF%E5%A5%BD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f74w5.hp.peraichi.com/" TargetMode="External"/><Relationship Id="rId42" Type="http://schemas.openxmlformats.org/officeDocument/2006/relationships/hyperlink" Target="http://www.kaiuns.com/" TargetMode="External"/><Relationship Id="rId41" Type="http://schemas.openxmlformats.org/officeDocument/2006/relationships/hyperlink" Target="https://kaedean.com/" TargetMode="External"/><Relationship Id="rId44" Type="http://schemas.openxmlformats.org/officeDocument/2006/relationships/hyperlink" Target="https://healingsalon-tsumugi.com/" TargetMode="External"/><Relationship Id="rId43" Type="http://schemas.openxmlformats.org/officeDocument/2006/relationships/hyperlink" Target="https://lovelight0207.com/" TargetMode="External"/><Relationship Id="rId46" Type="http://schemas.openxmlformats.org/officeDocument/2006/relationships/hyperlink" Target="https://tsubomi-healing.com/%EF%BD%9C%E2%96%B3%EF%BD%9C%E7%84%A1%E6%96%99%E3%83%96%E3%83%AD%E3%82%B0%E3%81%AE%E3%82%88%E3%81%86%E3%81%AA%E6%A7%8B%E6%88%90%E3%81%A7%E3%80%81%E4%BF%A1%E9%A0%BC%E6%80%A7%E3%81%AB%E6%AC%A0%E3%81%91%E3%82%8B" TargetMode="External"/><Relationship Id="rId45" Type="http://schemas.openxmlformats.org/officeDocument/2006/relationships/hyperlink" Target="https://ota-spiritual-yui.com/" TargetMode="External"/><Relationship Id="rId48" Type="http://schemas.openxmlformats.org/officeDocument/2006/relationships/hyperlink" Target="https://tsumugi-uranai.jp/" TargetMode="External"/><Relationship Id="rId47" Type="http://schemas.openxmlformats.org/officeDocument/2006/relationships/hyperlink" Target="https://musubi-spiritual.com/" TargetMode="External"/><Relationship Id="rId49" Type="http://schemas.openxmlformats.org/officeDocument/2006/relationships/hyperlink" Target="https://nozomi-healing.net/" TargetMode="External"/><Relationship Id="rId31" Type="http://schemas.openxmlformats.org/officeDocument/2006/relationships/hyperlink" Target="https://reserva.be/kyokotarot" TargetMode="External"/><Relationship Id="rId30" Type="http://schemas.openxmlformats.org/officeDocument/2006/relationships/hyperlink" Target="http://wajo.cocolog-nifty.com/" TargetMode="External"/><Relationship Id="rId33" Type="http://schemas.openxmlformats.org/officeDocument/2006/relationships/hyperlink" Target="https://happy-fortune.com/" TargetMode="External"/><Relationship Id="rId32" Type="http://schemas.openxmlformats.org/officeDocument/2006/relationships/hyperlink" Target="https://rurudonoheya.com/" TargetMode="External"/><Relationship Id="rId35" Type="http://schemas.openxmlformats.org/officeDocument/2006/relationships/hyperlink" Target="https://spiritually.jp/" TargetMode="External"/><Relationship Id="rId34" Type="http://schemas.openxmlformats.org/officeDocument/2006/relationships/hyperlink" Target="https://www.s-healing.com/" TargetMode="External"/><Relationship Id="rId37" Type="http://schemas.openxmlformats.org/officeDocument/2006/relationships/hyperlink" Target="https://www.ouchiseitai.net/syuzai/nagomi-salon/" TargetMode="External"/><Relationship Id="rId36" Type="http://schemas.openxmlformats.org/officeDocument/2006/relationships/hyperlink" Target="https://www.facebook.com/megumi.uranai/" TargetMode="External"/><Relationship Id="rId39" Type="http://schemas.openxmlformats.org/officeDocument/2006/relationships/hyperlink" Target="https://www.instagram.com/tsumugi_cyo/" TargetMode="External"/><Relationship Id="rId38" Type="http://schemas.openxmlformats.org/officeDocument/2006/relationships/hyperlink" Target="https://azulealea.simdif.com/" TargetMode="External"/><Relationship Id="rId20" Type="http://schemas.openxmlformats.org/officeDocument/2006/relationships/hyperlink" Target="https://www.foomi.jp/" TargetMode="External"/><Relationship Id="rId22" Type="http://schemas.openxmlformats.org/officeDocument/2006/relationships/hyperlink" Target="https://coconala.com/users/1885651" TargetMode="External"/><Relationship Id="rId21" Type="http://schemas.openxmlformats.org/officeDocument/2006/relationships/hyperlink" Target="https://yui-uranai.jp/" TargetMode="External"/><Relationship Id="rId24" Type="http://schemas.openxmlformats.org/officeDocument/2006/relationships/hyperlink" Target="https://nijinohashi-ota.com/" TargetMode="External"/><Relationship Id="rId23" Type="http://schemas.openxmlformats.org/officeDocument/2006/relationships/hyperlink" Target="https://kanade-healing.com/" TargetMode="External"/><Relationship Id="rId26" Type="http://schemas.openxmlformats.org/officeDocument/2006/relationships/hyperlink" Target="https://unmeinowa-ota.com/" TargetMode="External"/><Relationship Id="rId25" Type="http://schemas.openxmlformats.org/officeDocument/2006/relationships/hyperlink" Target="https://jiai-ota.com/" TargetMode="External"/><Relationship Id="rId28" Type="http://schemas.openxmlformats.org/officeDocument/2006/relationships/hyperlink" Target="https://iyashinomori-ota.jp/" TargetMode="External"/><Relationship Id="rId27" Type="http://schemas.openxmlformats.org/officeDocument/2006/relationships/hyperlink" Target="https://hikarinomichi.jp/" TargetMode="External"/><Relationship Id="rId29" Type="http://schemas.openxmlformats.org/officeDocument/2006/relationships/hyperlink" Target="https://kizuna3.com/" TargetMode="External"/><Relationship Id="rId11" Type="http://schemas.openxmlformats.org/officeDocument/2006/relationships/hyperlink" Target="https://mizary.com/kamata/" TargetMode="External"/><Relationship Id="rId10" Type="http://schemas.openxmlformats.org/officeDocument/2006/relationships/hyperlink" Target="https://sanganine.com/" TargetMode="External"/><Relationship Id="rId13" Type="http://schemas.openxmlformats.org/officeDocument/2006/relationships/hyperlink" Target="https://www.relux2022.com/" TargetMode="External"/><Relationship Id="rId12" Type="http://schemas.openxmlformats.org/officeDocument/2006/relationships/hyperlink" Target="https://otakiplanning.net/" TargetMode="External"/><Relationship Id="rId15" Type="http://schemas.openxmlformats.org/officeDocument/2006/relationships/hyperlink" Target="https://www.sentohappy.com/" TargetMode="External"/><Relationship Id="rId14" Type="http://schemas.openxmlformats.org/officeDocument/2006/relationships/hyperlink" Target="https://tenzando.com/" TargetMode="External"/><Relationship Id="rId17" Type="http://schemas.openxmlformats.org/officeDocument/2006/relationships/hyperlink" Target="https://masuma-tesou.com/" TargetMode="External"/><Relationship Id="rId16" Type="http://schemas.openxmlformats.org/officeDocument/2006/relationships/hyperlink" Target="https://rurudonoheya.com/" TargetMode="External"/><Relationship Id="rId19" Type="http://schemas.openxmlformats.org/officeDocument/2006/relationships/hyperlink" Target="https://uranai-hasu.com/" TargetMode="External"/><Relationship Id="rId18" Type="http://schemas.openxmlformats.org/officeDocument/2006/relationships/hyperlink" Target="https://shishin-uranai.com/" TargetMode="External"/><Relationship Id="rId1" Type="http://schemas.openxmlformats.org/officeDocument/2006/relationships/hyperlink" Target="http://www.psychic-counseling.com/" TargetMode="External"/><Relationship Id="rId2" Type="http://schemas.openxmlformats.org/officeDocument/2006/relationships/hyperlink" Target="http://luna104.net/" TargetMode="External"/><Relationship Id="rId3" Type="http://schemas.openxmlformats.org/officeDocument/2006/relationships/hyperlink" Target="https://jun-oneness.com/" TargetMode="External"/><Relationship Id="rId4" Type="http://schemas.openxmlformats.org/officeDocument/2006/relationships/hyperlink" Target="https://kewarra-bodyhealing.jimdofree.com/" TargetMode="External"/><Relationship Id="rId9" Type="http://schemas.openxmlformats.org/officeDocument/2006/relationships/hyperlink" Target="https://yuinokante.amebaownd.com/" TargetMode="External"/><Relationship Id="rId5" Type="http://schemas.openxmlformats.org/officeDocument/2006/relationships/hyperlink" Target="https://healnarumi.com/" TargetMode="External"/><Relationship Id="rId6" Type="http://schemas.openxmlformats.org/officeDocument/2006/relationships/hyperlink" Target="https://massu-uranaiseitai.com/" TargetMode="External"/><Relationship Id="rId7" Type="http://schemas.openxmlformats.org/officeDocument/2006/relationships/hyperlink" Target="https://truecolors-welcome.com/" TargetMode="External"/><Relationship Id="rId8" Type="http://schemas.openxmlformats.org/officeDocument/2006/relationships/hyperlink" Target="https://athartam.com/" TargetMode="External"/><Relationship Id="rId73" Type="http://schemas.openxmlformats.org/officeDocument/2006/relationships/hyperlink" Target="https://kaede-healing.com/" TargetMode="External"/><Relationship Id="rId72" Type="http://schemas.openxmlformats.org/officeDocument/2006/relationships/hyperlink" Target="https://yui-uranai.jp/" TargetMode="External"/><Relationship Id="rId75" Type="http://schemas.openxmlformats.org/officeDocument/2006/relationships/hyperlink" Target="https://hana-uranai.com/" TargetMode="External"/><Relationship Id="rId74" Type="http://schemas.openxmlformats.org/officeDocument/2006/relationships/hyperlink" Target="https://tsubomi-spiritual.jp/" TargetMode="External"/><Relationship Id="rId77" Type="http://schemas.openxmlformats.org/officeDocument/2006/relationships/drawing" Target="../drawings/drawing8.xml"/><Relationship Id="rId76" Type="http://schemas.openxmlformats.org/officeDocument/2006/relationships/hyperlink" Target="https://tsumugi-healing.com/" TargetMode="External"/><Relationship Id="rId71" Type="http://schemas.openxmlformats.org/officeDocument/2006/relationships/hyperlink" Target="https://tsumugi-spiritual.com/" TargetMode="External"/><Relationship Id="rId70" Type="http://schemas.openxmlformats.org/officeDocument/2006/relationships/hyperlink" Target="https://shiori-healing.jp/" TargetMode="External"/><Relationship Id="rId62" Type="http://schemas.openxmlformats.org/officeDocument/2006/relationships/hyperlink" Target="https://kanade-spiritual.jp/" TargetMode="External"/><Relationship Id="rId61" Type="http://schemas.openxmlformats.org/officeDocument/2006/relationships/hyperlink" Target="https://tsumugi-healing.jp/" TargetMode="External"/><Relationship Id="rId64" Type="http://schemas.openxmlformats.org/officeDocument/2006/relationships/hyperlink" Target="https://nozomi-healing.jp/" TargetMode="External"/><Relationship Id="rId63" Type="http://schemas.openxmlformats.org/officeDocument/2006/relationships/hyperlink" Target="https://kizuna-uranai.net/" TargetMode="External"/><Relationship Id="rId66" Type="http://schemas.openxmlformats.org/officeDocument/2006/relationships/hyperlink" Target="https://mio-uranai.jp/" TargetMode="External"/><Relationship Id="rId65" Type="http://schemas.openxmlformats.org/officeDocument/2006/relationships/hyperlink" Target="https://nagi-spiritual.jp/" TargetMode="External"/><Relationship Id="rId68" Type="http://schemas.openxmlformats.org/officeDocument/2006/relationships/hyperlink" Target="https://hasu-spiritual.jp/" TargetMode="External"/><Relationship Id="rId67" Type="http://schemas.openxmlformats.org/officeDocument/2006/relationships/hyperlink" Target="https://aoi-healing.com/" TargetMode="External"/><Relationship Id="rId60" Type="http://schemas.openxmlformats.org/officeDocument/2006/relationships/hyperlink" Target="https://hana-uranai.net/" TargetMode="External"/><Relationship Id="rId69" Type="http://schemas.openxmlformats.org/officeDocument/2006/relationships/hyperlink" Target="https://sui-uranai.com/" TargetMode="External"/><Relationship Id="rId51" Type="http://schemas.openxmlformats.org/officeDocument/2006/relationships/hyperlink" Target="https://mio-uranai.com/" TargetMode="External"/><Relationship Id="rId50" Type="http://schemas.openxmlformats.org/officeDocument/2006/relationships/hyperlink" Target="https://nagi-spiritual.com/" TargetMode="External"/><Relationship Id="rId53" Type="http://schemas.openxmlformats.org/officeDocument/2006/relationships/hyperlink" Target="https://hasu-spiritual.net/" TargetMode="External"/><Relationship Id="rId52" Type="http://schemas.openxmlformats.org/officeDocument/2006/relationships/hyperlink" Target="https://aoi-healing.jp/" TargetMode="External"/><Relationship Id="rId55" Type="http://schemas.openxmlformats.org/officeDocument/2006/relationships/hyperlink" Target="https://shiori-healing.com/" TargetMode="External"/><Relationship Id="rId54" Type="http://schemas.openxmlformats.org/officeDocument/2006/relationships/hyperlink" Target="https://sui-uranai.jp/" TargetMode="External"/><Relationship Id="rId57" Type="http://schemas.openxmlformats.org/officeDocument/2006/relationships/hyperlink" Target="https://yui-uranai.com/" TargetMode="External"/><Relationship Id="rId56" Type="http://schemas.openxmlformats.org/officeDocument/2006/relationships/hyperlink" Target="https://tsumugi-spiritual.net/" TargetMode="External"/><Relationship Id="rId59" Type="http://schemas.openxmlformats.org/officeDocument/2006/relationships/hyperlink" Target="https://tsubomi-spiritual.com/" TargetMode="External"/><Relationship Id="rId58" Type="http://schemas.openxmlformats.org/officeDocument/2006/relationships/hyperlink" Target="https://kaede-healing.jp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salon-luminica.com/" TargetMode="External"/><Relationship Id="rId42" Type="http://schemas.openxmlformats.org/officeDocument/2006/relationships/hyperlink" Target="https://select-type.com/s/sehinoa" TargetMode="External"/><Relationship Id="rId41" Type="http://schemas.openxmlformats.org/officeDocument/2006/relationships/hyperlink" Target="https://bibifortunetelling.stores.jp/" TargetMode="External"/><Relationship Id="rId44" Type="http://schemas.openxmlformats.org/officeDocument/2006/relationships/hyperlink" Target="https://otsunestone.com/" TargetMode="External"/><Relationship Id="rId43" Type="http://schemas.openxmlformats.org/officeDocument/2006/relationships/hyperlink" Target="https://shimadakaho.com/" TargetMode="External"/><Relationship Id="rId46" Type="http://schemas.openxmlformats.org/officeDocument/2006/relationships/hyperlink" Target="https://liebeliebe.com/" TargetMode="External"/><Relationship Id="rId45" Type="http://schemas.openxmlformats.org/officeDocument/2006/relationships/hyperlink" Target="https://for-l.jp/" TargetMode="External"/><Relationship Id="rId48" Type="http://schemas.openxmlformats.org/officeDocument/2006/relationships/hyperlink" Target="https://umisenyamasen.com/" TargetMode="External"/><Relationship Id="rId47" Type="http://schemas.openxmlformats.org/officeDocument/2006/relationships/hyperlink" Target="https://happiness-nerima.com/" TargetMode="External"/><Relationship Id="rId49" Type="http://schemas.openxmlformats.org/officeDocument/2006/relationships/hyperlink" Target="https://majo-maison.com/" TargetMode="External"/><Relationship Id="rId31" Type="http://schemas.openxmlformats.org/officeDocument/2006/relationships/hyperlink" Target="https://tiare-healing.com/" TargetMode="External"/><Relationship Id="rId30" Type="http://schemas.openxmlformats.org/officeDocument/2006/relationships/hyperlink" Target="https://otsunestone.com/" TargetMode="External"/><Relationship Id="rId33" Type="http://schemas.openxmlformats.org/officeDocument/2006/relationships/hyperlink" Target="https://aegis-orgone.com/" TargetMode="External"/><Relationship Id="rId32" Type="http://schemas.openxmlformats.org/officeDocument/2006/relationships/hyperlink" Target="https://le-bien-chouchou.com/" TargetMode="External"/><Relationship Id="rId35" Type="http://schemas.openxmlformats.org/officeDocument/2006/relationships/hyperlink" Target="https://curegrue.com/" TargetMode="External"/><Relationship Id="rId34" Type="http://schemas.openxmlformats.org/officeDocument/2006/relationships/hyperlink" Target="https://guardianheart.jp/" TargetMode="External"/><Relationship Id="rId37" Type="http://schemas.openxmlformats.org/officeDocument/2006/relationships/hyperlink" Target="https://feeloasis2.sakura.ne.jp/" TargetMode="External"/><Relationship Id="rId36" Type="http://schemas.openxmlformats.org/officeDocument/2006/relationships/hyperlink" Target="https://sukhasalon.com/" TargetMode="External"/><Relationship Id="rId39" Type="http://schemas.openxmlformats.org/officeDocument/2006/relationships/hyperlink" Target="https://sakuraheart.jp/" TargetMode="External"/><Relationship Id="rId38" Type="http://schemas.openxmlformats.org/officeDocument/2006/relationships/hyperlink" Target="https://www.lesson-shop.net/" TargetMode="External"/><Relationship Id="rId20" Type="http://schemas.openxmlformats.org/officeDocument/2006/relationships/hyperlink" Target="https://curegrue.com/" TargetMode="External"/><Relationship Id="rId22" Type="http://schemas.openxmlformats.org/officeDocument/2006/relationships/hyperlink" Target="https://feeloasis2.sakura.ne.jp/" TargetMode="External"/><Relationship Id="rId21" Type="http://schemas.openxmlformats.org/officeDocument/2006/relationships/hyperlink" Target="https://sukhasalon.com/" TargetMode="External"/><Relationship Id="rId24" Type="http://schemas.openxmlformats.org/officeDocument/2006/relationships/hyperlink" Target="https://sakuraheart.jp/" TargetMode="External"/><Relationship Id="rId23" Type="http://schemas.openxmlformats.org/officeDocument/2006/relationships/hyperlink" Target="https://www.lesson-shop.net/" TargetMode="External"/><Relationship Id="rId26" Type="http://schemas.openxmlformats.org/officeDocument/2006/relationships/hyperlink" Target="https://bibifortunetelling.stores.jp/" TargetMode="External"/><Relationship Id="rId25" Type="http://schemas.openxmlformats.org/officeDocument/2006/relationships/hyperlink" Target="https://salon-luminica.com/" TargetMode="External"/><Relationship Id="rId28" Type="http://schemas.openxmlformats.org/officeDocument/2006/relationships/hyperlink" Target="https://shimadakaho.com/" TargetMode="External"/><Relationship Id="rId27" Type="http://schemas.openxmlformats.org/officeDocument/2006/relationships/hyperlink" Target="https://select-type.com/s/sehinoa" TargetMode="External"/><Relationship Id="rId29" Type="http://schemas.openxmlformats.org/officeDocument/2006/relationships/hyperlink" Target="https://otsunestone.com/,%E2%97%8B,%E7%8B%AC%E8%87%AA%E3%83%89%E3%83%A1%E3%82%A4%E3%83%B3%E3%81%A7%E6%A7%8B%E6%88%90%E3%81%8C%E6%95%B4%E3%81%A3%E3%81%A6%E3%81%84%E3%82%8B" TargetMode="External"/><Relationship Id="rId11" Type="http://schemas.openxmlformats.org/officeDocument/2006/relationships/hyperlink" Target="https://www.hastamanana.jp/" TargetMode="External"/><Relationship Id="rId10" Type="http://schemas.openxmlformats.org/officeDocument/2006/relationships/hyperlink" Target="https://tenryukan.com/" TargetMode="External"/><Relationship Id="rId13" Type="http://schemas.openxmlformats.org/officeDocument/2006/relationships/hyperlink" Target="https://www.plaisir-japan.com/" TargetMode="External"/><Relationship Id="rId12" Type="http://schemas.openxmlformats.org/officeDocument/2006/relationships/hyperlink" Target="https://morinomiya.net/" TargetMode="External"/><Relationship Id="rId15" Type="http://schemas.openxmlformats.org/officeDocument/2006/relationships/hyperlink" Target="https://rashinban.co.jp/" TargetMode="External"/><Relationship Id="rId14" Type="http://schemas.openxmlformats.org/officeDocument/2006/relationships/hyperlink" Target="https://iyashinomori-ogikubo.com/" TargetMode="External"/><Relationship Id="rId17" Type="http://schemas.openxmlformats.org/officeDocument/2006/relationships/hyperlink" Target="https://le-bien-chouchou.com/" TargetMode="External"/><Relationship Id="rId16" Type="http://schemas.openxmlformats.org/officeDocument/2006/relationships/hyperlink" Target="https://tiare-healing.com/" TargetMode="External"/><Relationship Id="rId19" Type="http://schemas.openxmlformats.org/officeDocument/2006/relationships/hyperlink" Target="https://guardianheart.jp/" TargetMode="External"/><Relationship Id="rId18" Type="http://schemas.openxmlformats.org/officeDocument/2006/relationships/hyperlink" Target="https://aegis-orgone.com/" TargetMode="External"/><Relationship Id="rId1" Type="http://schemas.openxmlformats.org/officeDocument/2006/relationships/hyperlink" Target="https://isihara.co.jp/" TargetMode="External"/><Relationship Id="rId2" Type="http://schemas.openxmlformats.org/officeDocument/2006/relationships/hyperlink" Target="https://joy-tarot.com/" TargetMode="External"/><Relationship Id="rId3" Type="http://schemas.openxmlformats.org/officeDocument/2006/relationships/hyperlink" Target="https://aoitsuki.jp/" TargetMode="External"/><Relationship Id="rId4" Type="http://schemas.openxmlformats.org/officeDocument/2006/relationships/hyperlink" Target="https://furara-aroma.com/" TargetMode="External"/><Relationship Id="rId9" Type="http://schemas.openxmlformats.org/officeDocument/2006/relationships/hyperlink" Target="https://uranai-ren.com/" TargetMode="External"/><Relationship Id="rId5" Type="http://schemas.openxmlformats.org/officeDocument/2006/relationships/hyperlink" Target="https://www.pianissimo-healing.com/" TargetMode="External"/><Relationship Id="rId6" Type="http://schemas.openxmlformats.org/officeDocument/2006/relationships/hyperlink" Target="https://itsumi-healing.com/" TargetMode="External"/><Relationship Id="rId7" Type="http://schemas.openxmlformats.org/officeDocument/2006/relationships/hyperlink" Target="https://uranai-petitange.com/" TargetMode="External"/><Relationship Id="rId8" Type="http://schemas.openxmlformats.org/officeDocument/2006/relationships/hyperlink" Target="https://kaginekotei.com/" TargetMode="External"/><Relationship Id="rId50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happiness-nerima.com/,%E2%97%8B,%E3%82%B3%E3%83%9F%E3%83%A5%E3%83%8B%E3%83%86%E3%82%A3%E3%82%B5%E3%83%AD%E3%83%B3%E3%81%A7%E6%A7%8B%E6%88%90%E8%89%AF%E5%A5%BD" TargetMode="External"/><Relationship Id="rId2" Type="http://schemas.openxmlformats.org/officeDocument/2006/relationships/hyperlink" Target="https://happiness-nerima.com/,%E2%97%8B,%E3%82%B3%E3%83%9F%E3%83%A5%E3%83%8B%E3%83%86%E3%82%A3%E3%82%B5%E3%83%AD%E3%83%B3%E3%81%A7%E6%A7%8B%E6%88%90%E8%89%AF%E5%A5%BD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rashinban.co.jp/,%E2%97%8B,%E6%A7%8B%E6%88%90%E3%81%8C%E7%B6%BA%E9%BA%97%E3%81%A7%E5%96%B6%E6%A5%AD%E5%AF%BE%E8%B1%A1%E3%81%A8%E3%81%97%E3%81%A6%E8%89%AF%E5%A5%BD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hyperlink" Target="http://yuishikian.com/mail/" TargetMode="External"/><Relationship Id="rId22" Type="http://schemas.openxmlformats.org/officeDocument/2006/relationships/hyperlink" Target="https://lamp-web.com/" TargetMode="External"/><Relationship Id="rId21" Type="http://schemas.openxmlformats.org/officeDocument/2006/relationships/hyperlink" Target="http://uranaibarbara.blog.fc2.com/" TargetMode="External"/><Relationship Id="rId24" Type="http://schemas.openxmlformats.org/officeDocument/2006/relationships/drawing" Target="../drawings/drawing12.xml"/><Relationship Id="rId23" Type="http://schemas.openxmlformats.org/officeDocument/2006/relationships/hyperlink" Target="https://lamp-web.com/" TargetMode="External"/><Relationship Id="rId11" Type="http://schemas.openxmlformats.org/officeDocument/2006/relationships/hyperlink" Target="http://www.seimiya-issei.com/" TargetMode="External"/><Relationship Id="rId10" Type="http://schemas.openxmlformats.org/officeDocument/2006/relationships/hyperlink" Target="https://kokoro9269.com/contact/" TargetMode="External"/><Relationship Id="rId13" Type="http://schemas.openxmlformats.org/officeDocument/2006/relationships/hyperlink" Target="https://www.healingspa-dana.com/" TargetMode="External"/><Relationship Id="rId12" Type="http://schemas.openxmlformats.org/officeDocument/2006/relationships/hyperlink" Target="http://www.seimiya-issei.com/yoyaku.html" TargetMode="External"/><Relationship Id="rId15" Type="http://schemas.openxmlformats.org/officeDocument/2006/relationships/hyperlink" Target="https://wellbelifebalance.com/" TargetMode="External"/><Relationship Id="rId14" Type="http://schemas.openxmlformats.org/officeDocument/2006/relationships/hyperlink" Target="https://www.healingspa-dana.com/" TargetMode="External"/><Relationship Id="rId17" Type="http://schemas.openxmlformats.org/officeDocument/2006/relationships/hyperlink" Target="https://nakano.hoshiyomido.com/" TargetMode="External"/><Relationship Id="rId16" Type="http://schemas.openxmlformats.org/officeDocument/2006/relationships/hyperlink" Target="https://wellbelifebalance.com/contact/" TargetMode="External"/><Relationship Id="rId19" Type="http://schemas.openxmlformats.org/officeDocument/2006/relationships/hyperlink" Target="http://yuishikian.com/" TargetMode="External"/><Relationship Id="rId18" Type="http://schemas.openxmlformats.org/officeDocument/2006/relationships/hyperlink" Target="https://nakano.hoshiyomido.com/contactus/" TargetMode="External"/><Relationship Id="rId1" Type="http://schemas.openxmlformats.org/officeDocument/2006/relationships/hyperlink" Target="https://aromaroomcitrus.com/" TargetMode="External"/><Relationship Id="rId2" Type="http://schemas.openxmlformats.org/officeDocument/2006/relationships/hyperlink" Target="https://form1.fc2.com/form/?id=e4dbebd0935c761b" TargetMode="External"/><Relationship Id="rId3" Type="http://schemas.openxmlformats.org/officeDocument/2006/relationships/hyperlink" Target="https://www.reikibyyuko.com/reiki-J.htm" TargetMode="External"/><Relationship Id="rId4" Type="http://schemas.openxmlformats.org/officeDocument/2006/relationships/hyperlink" Target="https://www.reikibyyuko.com/contact-J.htm" TargetMode="External"/><Relationship Id="rId9" Type="http://schemas.openxmlformats.org/officeDocument/2006/relationships/hyperlink" Target="https://kokoro9269.com/" TargetMode="External"/><Relationship Id="rId5" Type="http://schemas.openxmlformats.org/officeDocument/2006/relationships/hyperlink" Target="https://www.healing10.com/" TargetMode="External"/><Relationship Id="rId6" Type="http://schemas.openxmlformats.org/officeDocument/2006/relationships/hyperlink" Target="https://www.healing10.com/otoiawase" TargetMode="External"/><Relationship Id="rId7" Type="http://schemas.openxmlformats.org/officeDocument/2006/relationships/hyperlink" Target="https://luna.s-style0221.com/" TargetMode="External"/><Relationship Id="rId8" Type="http://schemas.openxmlformats.org/officeDocument/2006/relationships/hyperlink" Target="https://luna.s-style0221.com/access/access.html" TargetMode="Externa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refine-web.com/" TargetMode="External"/><Relationship Id="rId10" Type="http://schemas.openxmlformats.org/officeDocument/2006/relationships/hyperlink" Target="https://coubic.com/snowdrops_reiki" TargetMode="External"/><Relationship Id="rId13" Type="http://schemas.openxmlformats.org/officeDocument/2006/relationships/hyperlink" Target="https://aromaanaroom.wixsite.com/home/" TargetMode="External"/><Relationship Id="rId12" Type="http://schemas.openxmlformats.org/officeDocument/2006/relationships/hyperlink" Target="https://www.yogamaru.net/" TargetMode="External"/><Relationship Id="rId15" Type="http://schemas.openxmlformats.org/officeDocument/2006/relationships/hyperlink" Target="https://reiki-sanctuary.com/" TargetMode="External"/><Relationship Id="rId14" Type="http://schemas.openxmlformats.org/officeDocument/2006/relationships/hyperlink" Target="https://aroma108studio.amebaownd.com/" TargetMode="External"/><Relationship Id="rId17" Type="http://schemas.openxmlformats.org/officeDocument/2006/relationships/drawing" Target="../drawings/drawing13.xml"/><Relationship Id="rId16" Type="http://schemas.openxmlformats.org/officeDocument/2006/relationships/hyperlink" Target="https://www.nagomi-healing.com/" TargetMode="External"/><Relationship Id="rId1" Type="http://schemas.openxmlformats.org/officeDocument/2006/relationships/hyperlink" Target="https://www.rouxsroom.com/" TargetMode="External"/><Relationship Id="rId2" Type="http://schemas.openxmlformats.org/officeDocument/2006/relationships/hyperlink" Target="https://www.ensen-ado.com/la_mano/" TargetMode="External"/><Relationship Id="rId3" Type="http://schemas.openxmlformats.org/officeDocument/2006/relationships/hyperlink" Target="https://reserva.be/sorairo" TargetMode="External"/><Relationship Id="rId4" Type="http://schemas.openxmlformats.org/officeDocument/2006/relationships/hyperlink" Target="https://yuuka2018.com/" TargetMode="External"/><Relationship Id="rId9" Type="http://schemas.openxmlformats.org/officeDocument/2006/relationships/hyperlink" Target="https://lotus-reiki.amebaownd.com/" TargetMode="External"/><Relationship Id="rId5" Type="http://schemas.openxmlformats.org/officeDocument/2006/relationships/hyperlink" Target="http://syuon.jp/" TargetMode="External"/><Relationship Id="rId6" Type="http://schemas.openxmlformats.org/officeDocument/2006/relationships/hyperlink" Target="https://www.emiluca.biz/" TargetMode="External"/><Relationship Id="rId7" Type="http://schemas.openxmlformats.org/officeDocument/2006/relationships/hyperlink" Target="https://mahina.pupu.jp/" TargetMode="External"/><Relationship Id="rId8" Type="http://schemas.openxmlformats.org/officeDocument/2006/relationships/hyperlink" Target="https://loveleeekta.com/" TargetMode="Externa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fujimakichiryoujyo.net/reiki/" TargetMode="External"/><Relationship Id="rId10" Type="http://schemas.openxmlformats.org/officeDocument/2006/relationships/hyperlink" Target="https://www.instagram.com/hanauta_iroiro/" TargetMode="External"/><Relationship Id="rId13" Type="http://schemas.openxmlformats.org/officeDocument/2006/relationships/drawing" Target="../drawings/drawing14.xml"/><Relationship Id="rId12" Type="http://schemas.openxmlformats.org/officeDocument/2006/relationships/hyperlink" Target="https://otsunestone.com/,%E2%97%8B,%E7%8B%AC%E8%87%AA%E3%83%89%E3%83%A1%E3%82%A4%E3%83%B3%E3%81%A7%E6%A7%8B%E6%88%90%E3%81%8C%E6%95%B4%E3%81%A3%E3%81%A6%E3%81%84%E3%82%8B" TargetMode="External"/><Relationship Id="rId1" Type="http://schemas.openxmlformats.org/officeDocument/2006/relationships/hyperlink" Target="https://www.liebeliebe-salon.com/" TargetMode="External"/><Relationship Id="rId2" Type="http://schemas.openxmlformats.org/officeDocument/2006/relationships/hyperlink" Target="https://www.instagram.com/liebeliebe_salon/" TargetMode="External"/><Relationship Id="rId3" Type="http://schemas.openxmlformats.org/officeDocument/2006/relationships/hyperlink" Target="https://te-n.net/" TargetMode="External"/><Relationship Id="rId4" Type="http://schemas.openxmlformats.org/officeDocument/2006/relationships/hyperlink" Target="https://www.instagram.com/ouchi_salon_ten/" TargetMode="External"/><Relationship Id="rId9" Type="http://schemas.openxmlformats.org/officeDocument/2006/relationships/hyperlink" Target="https://hanauta-iroiro.com/" TargetMode="External"/><Relationship Id="rId5" Type="http://schemas.openxmlformats.org/officeDocument/2006/relationships/hyperlink" Target="https://healing-kimon.com/" TargetMode="External"/><Relationship Id="rId6" Type="http://schemas.openxmlformats.org/officeDocument/2006/relationships/hyperlink" Target="https://r.goope.jp/lafemme/" TargetMode="External"/><Relationship Id="rId7" Type="http://schemas.openxmlformats.org/officeDocument/2006/relationships/hyperlink" Target="https://hanamsalon.com/" TargetMode="External"/><Relationship Id="rId8" Type="http://schemas.openxmlformats.org/officeDocument/2006/relationships/hyperlink" Target="https://www.instagram.com/hanasalon_emu/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liebeliebe.com/,%E2%97%8B,%E7%8B%AC%E8%87%AA%E3%83%89%E3%83%A1%E3%82%A4%E3%83%B3%E3%81%A7%E6%B8%85%E6%BD%94%E6%84%9F%E3%81%8C%E3%81%82%E3%82%8B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tensho-uranai.com/,%E2%97%8B,%E3%83%87%E3%82%B6%E3%82%A4%E3%83%B3%E3%83%BB%E6%A7%8B%E6%88%90%E3%81%8C%E6%95%B4%E3%81%A3%E3%81%A6%E3%81%84%E3%82%8B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7.xml"/><Relationship Id="rId31" Type="http://schemas.openxmlformats.org/officeDocument/2006/relationships/hyperlink" Target="https://bright-space.jimdofree.com/" TargetMode="External"/><Relationship Id="rId30" Type="http://schemas.openxmlformats.org/officeDocument/2006/relationships/hyperlink" Target="https://codepen.io/stjjlreq-the-looper/full/qENBvYK" TargetMode="External"/><Relationship Id="rId33" Type="http://schemas.openxmlformats.org/officeDocument/2006/relationships/hyperlink" Target="https://messia.com/" TargetMode="External"/><Relationship Id="rId32" Type="http://schemas.openxmlformats.org/officeDocument/2006/relationships/hyperlink" Target="https://codepen.io/stjjlreq-the-looper/full/OPXJqZL" TargetMode="External"/><Relationship Id="rId35" Type="http://schemas.openxmlformats.org/officeDocument/2006/relationships/hyperlink" Target="https://pasutelvision.info/" TargetMode="External"/><Relationship Id="rId34" Type="http://schemas.openxmlformats.org/officeDocument/2006/relationships/hyperlink" Target="https://codepen.io/stjjlreq-the-looper/full/vEKYPdv" TargetMode="External"/><Relationship Id="rId37" Type="http://schemas.openxmlformats.org/officeDocument/2006/relationships/hyperlink" Target="https://codepen.io/stjjlreq-the-looper/pen/Byzaqbv" TargetMode="External"/><Relationship Id="rId36" Type="http://schemas.openxmlformats.org/officeDocument/2006/relationships/hyperlink" Target="https://codepen.io/stjjlreq-the-looper/full/xbOxBWW" TargetMode="External"/><Relationship Id="rId39" Type="http://schemas.openxmlformats.org/officeDocument/2006/relationships/hyperlink" Target="https://codepen.io/stjjlreq-the-looper/full/qENBvYK" TargetMode="External"/><Relationship Id="rId38" Type="http://schemas.openxmlformats.org/officeDocument/2006/relationships/hyperlink" Target="https://holyone369.com/" TargetMode="External"/><Relationship Id="rId20" Type="http://schemas.openxmlformats.org/officeDocument/2006/relationships/hyperlink" Target="https://healingheart6622.jimdofree.com/" TargetMode="External"/><Relationship Id="rId22" Type="http://schemas.openxmlformats.org/officeDocument/2006/relationships/hyperlink" Target="https://cs60sowaka.com/" TargetMode="External"/><Relationship Id="rId21" Type="http://schemas.openxmlformats.org/officeDocument/2006/relationships/hyperlink" Target="https://codepen.io/stjjlreq-the-looper/full/pvboKxz" TargetMode="External"/><Relationship Id="rId24" Type="http://schemas.openxmlformats.org/officeDocument/2006/relationships/hyperlink" Target="https://codepen.io/stjjlreq-the-looper/full/myEdowv" TargetMode="External"/><Relationship Id="rId23" Type="http://schemas.openxmlformats.org/officeDocument/2006/relationships/hyperlink" Target="https://codepen.io/stjjlreq-the-looper/full/zxBYbPE" TargetMode="External"/><Relationship Id="rId26" Type="http://schemas.openxmlformats.org/officeDocument/2006/relationships/hyperlink" Target="https://codepen.io/stjjlreq-the-looper/full/OPXJqje" TargetMode="External"/><Relationship Id="rId25" Type="http://schemas.openxmlformats.org/officeDocument/2006/relationships/hyperlink" Target="https://hisuitokaeru.crayonsite.net/" TargetMode="External"/><Relationship Id="rId28" Type="http://schemas.openxmlformats.org/officeDocument/2006/relationships/hyperlink" Target="https://codepen.io/stjjlreq-the-looper/full/EayxMXw" TargetMode="External"/><Relationship Id="rId27" Type="http://schemas.openxmlformats.org/officeDocument/2006/relationships/hyperlink" Target="https://www.reliease-field.com/" TargetMode="External"/><Relationship Id="rId29" Type="http://schemas.openxmlformats.org/officeDocument/2006/relationships/hyperlink" Target="https://www.liebeliebe-salon.com/" TargetMode="External"/><Relationship Id="rId11" Type="http://schemas.openxmlformats.org/officeDocument/2006/relationships/hyperlink" Target="https://codepen.io/stjjlreq-the-looper/full/wBWvXMj" TargetMode="External"/><Relationship Id="rId10" Type="http://schemas.openxmlformats.org/officeDocument/2006/relationships/hyperlink" Target="https://healingroom-eri.com/" TargetMode="External"/><Relationship Id="rId13" Type="http://schemas.openxmlformats.org/officeDocument/2006/relationships/hyperlink" Target="https://codepen.io/stjjlreq-the-looper/full/OPXJEZo" TargetMode="External"/><Relationship Id="rId12" Type="http://schemas.openxmlformats.org/officeDocument/2006/relationships/hyperlink" Target="https://jun-oneness.com/" TargetMode="External"/><Relationship Id="rId15" Type="http://schemas.openxmlformats.org/officeDocument/2006/relationships/hyperlink" Target="https://codepen.io/stjjlreq-the-looper/full/zxBYaaq" TargetMode="External"/><Relationship Id="rId14" Type="http://schemas.openxmlformats.org/officeDocument/2006/relationships/hyperlink" Target="http://anju.cho88.com/" TargetMode="External"/><Relationship Id="rId17" Type="http://schemas.openxmlformats.org/officeDocument/2006/relationships/hyperlink" Target="https://codepen.io/stjjlreq-the-looper/full/EayxRpy" TargetMode="External"/><Relationship Id="rId16" Type="http://schemas.openxmlformats.org/officeDocument/2006/relationships/hyperlink" Target="https://coppeherbshome.hp.peraichi.com/" TargetMode="External"/><Relationship Id="rId19" Type="http://schemas.openxmlformats.org/officeDocument/2006/relationships/hyperlink" Target="https://codepen.io/stjjlreq-the-looper/full/emzYKLp" TargetMode="External"/><Relationship Id="rId18" Type="http://schemas.openxmlformats.org/officeDocument/2006/relationships/hyperlink" Target="https://www.ponopono6363-aloha.com/" TargetMode="External"/><Relationship Id="rId1" Type="http://schemas.openxmlformats.org/officeDocument/2006/relationships/hyperlink" Target="https://ahum-hypno.com/" TargetMode="External"/><Relationship Id="rId2" Type="http://schemas.openxmlformats.org/officeDocument/2006/relationships/hyperlink" Target="https://kichijyoji-reiki.sakura.ne.jp/" TargetMode="External"/><Relationship Id="rId3" Type="http://schemas.openxmlformats.org/officeDocument/2006/relationships/hyperlink" Target="https://codepen.io/stjjlreq-the-looper/full/NPrWaJV" TargetMode="External"/><Relationship Id="rId4" Type="http://schemas.openxmlformats.org/officeDocument/2006/relationships/hyperlink" Target="https://aroma-lakshmi.com/" TargetMode="External"/><Relationship Id="rId9" Type="http://schemas.openxmlformats.org/officeDocument/2006/relationships/hyperlink" Target="https://www.kichijoji-seitaiin.com/" TargetMode="External"/><Relationship Id="rId5" Type="http://schemas.openxmlformats.org/officeDocument/2006/relationships/hyperlink" Target="https://codepen.io/stjjlreq-the-looper/full/jErOaar" TargetMode="External"/><Relationship Id="rId6" Type="http://schemas.openxmlformats.org/officeDocument/2006/relationships/hyperlink" Target="https://shiftbylenjo.com/https://codepen.io/stjjlreq-the-looper/full/vEKYWWb" TargetMode="External"/><Relationship Id="rId7" Type="http://schemas.openxmlformats.org/officeDocument/2006/relationships/hyperlink" Target="https://codepen.io/stjjlreq-the-looper/full/vEKYWWb" TargetMode="External"/><Relationship Id="rId8" Type="http://schemas.openxmlformats.org/officeDocument/2006/relationships/hyperlink" Target="https://egao-do.com/kichijojinishi/" TargetMode="External"/></Relationships>
</file>

<file path=xl/worksheets/_rels/sheet18.xml.rels><?xml version="1.0" encoding="UTF-8" standalone="yes"?><Relationships xmlns="http://schemas.openxmlformats.org/package/2006/relationships"><Relationship Id="rId31" Type="http://schemas.openxmlformats.org/officeDocument/2006/relationships/hyperlink" Target="https://a3kaku.jimdofree.com/" TargetMode="External"/><Relationship Id="rId30" Type="http://schemas.openxmlformats.org/officeDocument/2006/relationships/hyperlink" Target="https://kokorotokaradanosoudansitsu.jimdofree.com/" TargetMode="External"/><Relationship Id="rId33" Type="http://schemas.openxmlformats.org/officeDocument/2006/relationships/hyperlink" Target="https://shanti8.jimdofree.com/" TargetMode="External"/><Relationship Id="rId32" Type="http://schemas.openxmlformats.org/officeDocument/2006/relationships/hyperlink" Target="https://mimiyogasmile.jimdoweb.com/" TargetMode="External"/><Relationship Id="rId35" Type="http://schemas.openxmlformats.org/officeDocument/2006/relationships/hyperlink" Target="https://www.asagoya.net/" TargetMode="External"/><Relationship Id="rId34" Type="http://schemas.openxmlformats.org/officeDocument/2006/relationships/hyperlink" Target="https://www.channeling-cafe.com/" TargetMode="External"/><Relationship Id="rId37" Type="http://schemas.openxmlformats.org/officeDocument/2006/relationships/drawing" Target="../drawings/drawing18.xml"/><Relationship Id="rId36" Type="http://schemas.openxmlformats.org/officeDocument/2006/relationships/hyperlink" Target="https://r.goope.jp/lafemme/" TargetMode="External"/><Relationship Id="rId20" Type="http://schemas.openxmlformats.org/officeDocument/2006/relationships/hyperlink" Target="https://hoken-shitsu.com/" TargetMode="External"/><Relationship Id="rId22" Type="http://schemas.openxmlformats.org/officeDocument/2006/relationships/hyperlink" Target="https://www.kimochi-salon222.com/" TargetMode="External"/><Relationship Id="rId21" Type="http://schemas.openxmlformats.org/officeDocument/2006/relationships/hyperlink" Target="https://lemongrass-salon.com/" TargetMode="External"/><Relationship Id="rId24" Type="http://schemas.openxmlformats.org/officeDocument/2006/relationships/hyperlink" Target="https://fumiamie.jimdofree.com/" TargetMode="External"/><Relationship Id="rId23" Type="http://schemas.openxmlformats.org/officeDocument/2006/relationships/hyperlink" Target="https://kokoururu8.jimdofree.com/" TargetMode="External"/><Relationship Id="rId26" Type="http://schemas.openxmlformats.org/officeDocument/2006/relationships/hyperlink" Target="https://kewarra-bodyhealing.jimdofree.com/" TargetMode="External"/><Relationship Id="rId25" Type="http://schemas.openxmlformats.org/officeDocument/2006/relationships/hyperlink" Target="https://jutolycaroma.jimdofree.com/" TargetMode="External"/><Relationship Id="rId28" Type="http://schemas.openxmlformats.org/officeDocument/2006/relationships/hyperlink" Target="https://bosan32000.wixsite.com/sinsindo/%E8%A4%87%E8%A3%BD-%E5%80%8B%E4%BA%BA%EF%BD%BE%EF%BD%AF%EF%BD%BC%EF%BD%AE%EF%BE%9D" TargetMode="External"/><Relationship Id="rId27" Type="http://schemas.openxmlformats.org/officeDocument/2006/relationships/hyperlink" Target="http://awoke.jimdo.com/" TargetMode="External"/><Relationship Id="rId29" Type="http://schemas.openxmlformats.org/officeDocument/2006/relationships/hyperlink" Target="https://heartliftup.amebaownd.com/" TargetMode="External"/><Relationship Id="rId11" Type="http://schemas.openxmlformats.org/officeDocument/2006/relationships/hyperlink" Target="https://www.eiseinetwork.com/rikott/" TargetMode="External"/><Relationship Id="rId10" Type="http://schemas.openxmlformats.org/officeDocument/2006/relationships/hyperlink" Target="https://heartbody.net/" TargetMode="External"/><Relationship Id="rId13" Type="http://schemas.openxmlformats.org/officeDocument/2006/relationships/hyperlink" Target="https://sparklingself333.wixsite.com/my-site/treatments" TargetMode="External"/><Relationship Id="rId12" Type="http://schemas.openxmlformats.org/officeDocument/2006/relationships/hyperlink" Target="https://lovelight0207.com/" TargetMode="External"/><Relationship Id="rId15" Type="http://schemas.openxmlformats.org/officeDocument/2006/relationships/hyperlink" Target="https://benpikaishosalon.wordpress.com/" TargetMode="External"/><Relationship Id="rId14" Type="http://schemas.openxmlformats.org/officeDocument/2006/relationships/hyperlink" Target="https://aonosizuku.snapsalon.jp/" TargetMode="External"/><Relationship Id="rId17" Type="http://schemas.openxmlformats.org/officeDocument/2006/relationships/hyperlink" Target="https://yururi2020.jimdofree.com/" TargetMode="External"/><Relationship Id="rId16" Type="http://schemas.openxmlformats.org/officeDocument/2006/relationships/hyperlink" Target="https://www.coroom.tokyo/" TargetMode="External"/><Relationship Id="rId19" Type="http://schemas.openxmlformats.org/officeDocument/2006/relationships/hyperlink" Target="https://hot-mayma-healer.com/" TargetMode="External"/><Relationship Id="rId18" Type="http://schemas.openxmlformats.org/officeDocument/2006/relationships/hyperlink" Target="https://hakoniwasalon.com/" TargetMode="External"/><Relationship Id="rId1" Type="http://schemas.openxmlformats.org/officeDocument/2006/relationships/hyperlink" Target="http://aromaroomcitrus.jp/" TargetMode="External"/><Relationship Id="rId2" Type="http://schemas.openxmlformats.org/officeDocument/2006/relationships/hyperlink" Target="https://librarelaxationroom.wixsite.com/libra" TargetMode="External"/><Relationship Id="rId3" Type="http://schemas.openxmlformats.org/officeDocument/2006/relationships/hyperlink" Target="https://www.higashinakano-shinrisoudan.com/" TargetMode="External"/><Relationship Id="rId4" Type="http://schemas.openxmlformats.org/officeDocument/2006/relationships/hyperlink" Target="https://www.therapeia.jp/" TargetMode="External"/><Relationship Id="rId9" Type="http://schemas.openxmlformats.org/officeDocument/2006/relationships/hyperlink" Target="https://kokoronotsubasa-magome.com/" TargetMode="External"/><Relationship Id="rId5" Type="http://schemas.openxmlformats.org/officeDocument/2006/relationships/hyperlink" Target="https://office-tkm.co.jp/" TargetMode="External"/><Relationship Id="rId6" Type="http://schemas.openxmlformats.org/officeDocument/2006/relationships/hyperlink" Target="https://www.shiomi-counseling.jp/" TargetMode="External"/><Relationship Id="rId7" Type="http://schemas.openxmlformats.org/officeDocument/2006/relationships/hyperlink" Target="https://beautyloungejune.wixsite.com/june/touch-healing" TargetMode="External"/><Relationship Id="rId8" Type="http://schemas.openxmlformats.org/officeDocument/2006/relationships/hyperlink" Target="http://luna104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0</v>
      </c>
      <c r="I1" s="1" t="s">
        <v>6</v>
      </c>
      <c r="J1" s="2" t="s">
        <v>7</v>
      </c>
      <c r="K1" s="3" t="s">
        <v>8</v>
      </c>
    </row>
    <row r="2">
      <c r="A2" s="4"/>
      <c r="B2" s="4" t="s">
        <v>9</v>
      </c>
      <c r="J2" s="3"/>
      <c r="K2" s="3" t="s">
        <v>10</v>
      </c>
    </row>
    <row r="3">
      <c r="A3" s="5"/>
      <c r="B3" s="5" t="str">
        <f>IFERROR(__xludf.DUMMYFUNCTION("QUERY('杉並区'!A:D, ""select * where C='△'"", 1)"),"サロン名")</f>
        <v>サロン名</v>
      </c>
      <c r="C3" s="6" t="str">
        <f>IFERROR(__xludf.DUMMYFUNCTION("""COMPUTED_VALUE"""),"url")</f>
        <v>url</v>
      </c>
      <c r="D3" s="6" t="str">
        <f>IFERROR(__xludf.DUMMYFUNCTION("""COMPUTED_VALUE"""),"メアド")</f>
        <v>メアド</v>
      </c>
      <c r="E3" s="6" t="str">
        <f>IFERROR(__xludf.DUMMYFUNCTION("""COMPUTED_VALUE"""),"コメント")</f>
        <v>コメント</v>
      </c>
      <c r="F3" s="1" t="s">
        <v>11</v>
      </c>
      <c r="G3" s="1" t="s">
        <v>12</v>
      </c>
      <c r="J3" s="3"/>
      <c r="K3" s="3" t="s">
        <v>13</v>
      </c>
    </row>
    <row r="4">
      <c r="A4" s="6" t="str">
        <f t="shared" ref="A4:A149" si="1">TEXT(200 + ROW() -4,"0000")</f>
        <v>0200</v>
      </c>
      <c r="B4" s="6" t="str">
        <f>IFERROR(__xludf.DUMMYFUNCTION("""COMPUTED_VALUE"""),"Roux's Room")</f>
        <v>Roux's Room</v>
      </c>
      <c r="C4" s="7" t="str">
        <f>IFERROR(__xludf.DUMMYFUNCTION("""COMPUTED_VALUE"""),"https://www.rouxsroom.com/")</f>
        <v>https://www.rouxsroom.com/</v>
      </c>
      <c r="D4" s="6" t="str">
        <f>IFERROR(__xludf.DUMMYFUNCTION("""COMPUTED_VALUE"""),"△")</f>
        <v>△</v>
      </c>
      <c r="E4" s="6"/>
      <c r="F4" s="8" t="s">
        <v>14</v>
      </c>
      <c r="J4" s="3"/>
      <c r="K4" s="3" t="s">
        <v>15</v>
      </c>
    </row>
    <row r="5">
      <c r="A5" s="6" t="str">
        <f t="shared" si="1"/>
        <v>0201</v>
      </c>
      <c r="B5" s="6" t="str">
        <f>IFERROR(__xludf.DUMMYFUNCTION("""COMPUTED_VALUE"""),"La mano")</f>
        <v>La mano</v>
      </c>
      <c r="C5" s="7" t="str">
        <f>IFERROR(__xludf.DUMMYFUNCTION("""COMPUTED_VALUE"""),"https://www.ensen-ado.com/la_mano/")</f>
        <v>https://www.ensen-ado.com/la_mano/</v>
      </c>
      <c r="D5" s="6" t="str">
        <f>IFERROR(__xludf.DUMMYFUNCTION("""COMPUTED_VALUE"""),"△")</f>
        <v>△</v>
      </c>
      <c r="E5" s="6"/>
      <c r="F5" s="8" t="s">
        <v>16</v>
      </c>
      <c r="J5" s="3"/>
      <c r="K5" s="3" t="s">
        <v>17</v>
      </c>
    </row>
    <row r="6">
      <c r="A6" s="6" t="str">
        <f t="shared" si="1"/>
        <v>0202</v>
      </c>
      <c r="B6" s="6" t="str">
        <f>IFERROR(__xludf.DUMMYFUNCTION("""COMPUTED_VALUE"""),"サロンそらいろ")</f>
        <v>サロンそらいろ</v>
      </c>
      <c r="C6" s="7" t="str">
        <f>IFERROR(__xludf.DUMMYFUNCTION("""COMPUTED_VALUE"""),"https://reserva.be/sorairo")</f>
        <v>https://reserva.be/sorairo</v>
      </c>
      <c r="D6" s="6" t="str">
        <f>IFERROR(__xludf.DUMMYFUNCTION("""COMPUTED_VALUE"""),"△")</f>
        <v>△</v>
      </c>
      <c r="E6" s="6"/>
      <c r="F6" s="8" t="s">
        <v>18</v>
      </c>
    </row>
    <row r="7">
      <c r="A7" s="6" t="str">
        <f t="shared" si="1"/>
        <v>0203</v>
      </c>
      <c r="B7" s="6" t="str">
        <f>IFERROR(__xludf.DUMMYFUNCTION("""COMPUTED_VALUE"""),"ヒーリングサロン手温")</f>
        <v>ヒーリングサロン手温</v>
      </c>
      <c r="C7" s="7" t="str">
        <f>IFERROR(__xludf.DUMMYFUNCTION("""COMPUTED_VALUE"""),"http://syuon.jp/")</f>
        <v>http://syuon.jp/</v>
      </c>
      <c r="D7" s="6" t="str">
        <f>IFERROR(__xludf.DUMMYFUNCTION("""COMPUTED_VALUE"""),"△")</f>
        <v>△</v>
      </c>
      <c r="E7" s="6"/>
      <c r="F7" s="8" t="s">
        <v>19</v>
      </c>
    </row>
    <row r="8">
      <c r="A8" s="6" t="str">
        <f t="shared" si="1"/>
        <v>0204</v>
      </c>
      <c r="B8" s="6" t="str">
        <f>IFERROR(__xludf.DUMMYFUNCTION("""COMPUTED_VALUE"""),"LOTUS REIKI 月")</f>
        <v>LOTUS REIKI 月</v>
      </c>
      <c r="C8" s="7" t="str">
        <f>IFERROR(__xludf.DUMMYFUNCTION("""COMPUTED_VALUE"""),"https://lotus-reiki.amebaownd.com/")</f>
        <v>https://lotus-reiki.amebaownd.com/</v>
      </c>
      <c r="D8" s="6" t="str">
        <f>IFERROR(__xludf.DUMMYFUNCTION("""COMPUTED_VALUE"""),"△")</f>
        <v>△</v>
      </c>
      <c r="E8" s="6"/>
      <c r="F8" s="8" t="s">
        <v>20</v>
      </c>
    </row>
    <row r="9">
      <c r="A9" s="6" t="str">
        <f t="shared" si="1"/>
        <v>0205</v>
      </c>
      <c r="B9" s="6" t="str">
        <f>IFERROR(__xludf.DUMMYFUNCTION("""COMPUTED_VALUE"""),"Snowdrops")</f>
        <v>Snowdrops</v>
      </c>
      <c r="C9" s="7" t="str">
        <f>IFERROR(__xludf.DUMMYFUNCTION("""COMPUTED_VALUE"""),"https://coubic.com/snowdrops_reiki")</f>
        <v>https://coubic.com/snowdrops_reiki</v>
      </c>
      <c r="D9" s="6" t="str">
        <f>IFERROR(__xludf.DUMMYFUNCTION("""COMPUTED_VALUE"""),"△")</f>
        <v>△</v>
      </c>
      <c r="E9" s="6"/>
      <c r="F9" s="8" t="s">
        <v>21</v>
      </c>
    </row>
    <row r="10">
      <c r="A10" s="6" t="str">
        <f t="shared" si="1"/>
        <v>0206</v>
      </c>
      <c r="B10" s="6" t="str">
        <f>IFERROR(__xludf.DUMMYFUNCTION("""COMPUTED_VALUE"""),"Refine")</f>
        <v>Refine</v>
      </c>
      <c r="C10" s="7" t="str">
        <f>IFERROR(__xludf.DUMMYFUNCTION("""COMPUTED_VALUE"""),"https://www.refine-web.com/")</f>
        <v>https://www.refine-web.com/</v>
      </c>
      <c r="D10" s="6" t="str">
        <f>IFERROR(__xludf.DUMMYFUNCTION("""COMPUTED_VALUE"""),"△")</f>
        <v>△</v>
      </c>
      <c r="E10" s="6"/>
      <c r="F10" s="8" t="s">
        <v>22</v>
      </c>
    </row>
    <row r="11">
      <c r="A11" s="6" t="str">
        <f t="shared" si="1"/>
        <v>0207</v>
      </c>
      <c r="B11" s="6" t="str">
        <f>IFERROR(__xludf.DUMMYFUNCTION("""COMPUTED_VALUE"""),"AROMA 108 STUDIO")</f>
        <v>AROMA 108 STUDIO</v>
      </c>
      <c r="C11" s="7" t="str">
        <f>IFERROR(__xludf.DUMMYFUNCTION("""COMPUTED_VALUE"""),"https://aroma108studio.amebaownd.com/")</f>
        <v>https://aroma108studio.amebaownd.com/</v>
      </c>
      <c r="D11" s="6" t="str">
        <f>IFERROR(__xludf.DUMMYFUNCTION("""COMPUTED_VALUE"""),"△")</f>
        <v>△</v>
      </c>
      <c r="E11" s="6"/>
      <c r="F11" s="8" t="s">
        <v>23</v>
      </c>
    </row>
    <row r="12">
      <c r="A12" s="6" t="str">
        <f t="shared" si="1"/>
        <v>0208</v>
      </c>
      <c r="B12" s="6" t="str">
        <f>IFERROR(__xludf.DUMMYFUNCTION("""COMPUTED_VALUE"""),"レイキヒーリングRoux's Room")</f>
        <v>レイキヒーリングRoux's Room</v>
      </c>
      <c r="C12" s="7" t="str">
        <f>IFERROR(__xludf.DUMMYFUNCTION("""COMPUTED_VALUE"""),"http://www.rouxsroom.com/")</f>
        <v>http://www.rouxsroom.com/</v>
      </c>
      <c r="D12" s="6" t="str">
        <f>IFERROR(__xludf.DUMMYFUNCTION("""COMPUTED_VALUE"""),"△")</f>
        <v>△</v>
      </c>
      <c r="E12" s="6" t="str">
        <f>IFERROR(__xludf.DUMMYFUNCTION("""COMPUTED_VALUE"""),"情報量は多いがデザインが古い")</f>
        <v>情報量は多いがデザインが古い</v>
      </c>
      <c r="F12" s="8" t="s">
        <v>24</v>
      </c>
    </row>
    <row r="13">
      <c r="A13" s="6" t="str">
        <f t="shared" si="1"/>
        <v>0209</v>
      </c>
      <c r="B13" s="6" t="str">
        <f>IFERROR(__xludf.DUMMYFUNCTION("""COMPUTED_VALUE"""),"ヒーリングミディアム理梨香")</f>
        <v>ヒーリングミディアム理梨香</v>
      </c>
      <c r="C13" s="7" t="str">
        <f>IFERROR(__xludf.DUMMYFUNCTION("""COMPUTED_VALUE"""),"https://www.healing-medium.jp/")</f>
        <v>https://www.healing-medium.jp/</v>
      </c>
      <c r="D13" s="6" t="str">
        <f>IFERROR(__xludf.DUMMYFUNCTION("""COMPUTED_VALUE"""),"△")</f>
        <v>△</v>
      </c>
      <c r="E13" s="6" t="str">
        <f>IFERROR(__xludf.DUMMYFUNCTION("""COMPUTED_VALUE"""),"文字中心で読みづらい")</f>
        <v>文字中心で読みづらい</v>
      </c>
      <c r="F13" s="8" t="s">
        <v>25</v>
      </c>
    </row>
    <row r="14">
      <c r="A14" s="6" t="str">
        <f t="shared" si="1"/>
        <v>0210</v>
      </c>
      <c r="B14" s="6" t="str">
        <f>IFERROR(__xludf.DUMMYFUNCTION("""COMPUTED_VALUE"""),"阿佐ヶ谷ヘリー")</f>
        <v>阿佐ヶ谷ヘリー</v>
      </c>
      <c r="C14" s="7" t="str">
        <f>IFERROR(__xludf.DUMMYFUNCTION("""COMPUTED_VALUE"""),"https://heryasagaya.amebaownd.com/")</f>
        <v>https://heryasagaya.amebaownd.com/</v>
      </c>
      <c r="D14" s="6" t="str">
        <f>IFERROR(__xludf.DUMMYFUNCTION("""COMPUTED_VALUE"""),"△")</f>
        <v>△</v>
      </c>
      <c r="E14" s="6" t="str">
        <f>IFERROR(__xludf.DUMMYFUNCTION("""COMPUTED_VALUE"""),"Ownd標準で独自性が薄い")</f>
        <v>Ownd標準で独自性が薄い</v>
      </c>
      <c r="F14" s="8" t="s">
        <v>26</v>
      </c>
    </row>
    <row r="15">
      <c r="A15" s="6" t="str">
        <f t="shared" si="1"/>
        <v>0211</v>
      </c>
      <c r="B15" s="6" t="str">
        <f>IFERROR(__xludf.DUMMYFUNCTION("""COMPUTED_VALUE"""),"ヒーリングエステ La-Venus")</f>
        <v>ヒーリングエステ La-Venus</v>
      </c>
      <c r="C15" s="7" t="str">
        <f>IFERROR(__xludf.DUMMYFUNCTION("""COMPUTED_VALUE"""),"https://la-venus.jp/")</f>
        <v>https://la-venus.jp/</v>
      </c>
      <c r="D15" s="6" t="str">
        <f>IFERROR(__xludf.DUMMYFUNCTION("""COMPUTED_VALUE"""),"△")</f>
        <v>△</v>
      </c>
      <c r="E15" s="6" t="str">
        <f>IFERROR(__xludf.DUMMYFUNCTION("""COMPUTED_VALUE"""),"更新状況が不安")</f>
        <v>更新状況が不安</v>
      </c>
      <c r="F15" s="8" t="s">
        <v>27</v>
      </c>
    </row>
    <row r="16">
      <c r="A16" s="6" t="str">
        <f t="shared" si="1"/>
        <v>0212</v>
      </c>
      <c r="B16" s="6" t="str">
        <f>IFERROR(__xludf.DUMMYFUNCTION("""COMPUTED_VALUE"""),"ボディマインドスピリット")</f>
        <v>ボディマインドスピリット</v>
      </c>
      <c r="C16" s="7" t="str">
        <f>IFERROR(__xludf.DUMMYFUNCTION("""COMPUTED_VALUE"""),"https://www.bodymindspirit.co.jp/")</f>
        <v>https://www.bodymindspirit.co.jp/</v>
      </c>
      <c r="D16" s="6" t="str">
        <f>IFERROR(__xludf.DUMMYFUNCTION("""COMPUTED_VALUE"""),"△")</f>
        <v>△</v>
      </c>
      <c r="E16" s="6" t="str">
        <f>IFERROR(__xludf.DUMMYFUNCTION("""COMPUTED_VALUE"""),"企業風だが旧式")</f>
        <v>企業風だが旧式</v>
      </c>
      <c r="F16" s="8" t="s">
        <v>28</v>
      </c>
    </row>
    <row r="17">
      <c r="A17" s="6" t="str">
        <f t="shared" si="1"/>
        <v>0213</v>
      </c>
      <c r="B17" s="6" t="str">
        <f>IFERROR(__xludf.DUMMYFUNCTION("""COMPUTED_VALUE"""),"西谷泰人の鑑定ルーム")</f>
        <v>西谷泰人の鑑定ルーム</v>
      </c>
      <c r="C17" s="7" t="str">
        <f>IFERROR(__xludf.DUMMYFUNCTION("""COMPUTED_VALUE"""),"https://www.nishitani-newyork.com/")</f>
        <v>https://www.nishitani-newyork.com/</v>
      </c>
      <c r="D17" s="6" t="str">
        <f>IFERROR(__xludf.DUMMYFUNCTION("""COMPUTED_VALUE"""),"△")</f>
        <v>△</v>
      </c>
      <c r="E17" s="6" t="str">
        <f>IFERROR(__xludf.DUMMYFUNCTION("""COMPUTED_VALUE"""),"有名だが一昔前")</f>
        <v>有名だが一昔前</v>
      </c>
      <c r="F17" s="8" t="s">
        <v>29</v>
      </c>
    </row>
    <row r="18">
      <c r="A18" s="6" t="str">
        <f t="shared" si="1"/>
        <v>0214</v>
      </c>
      <c r="B18" s="6" t="str">
        <f>IFERROR(__xludf.DUMMYFUNCTION("""COMPUTED_VALUE"""),"鍼灸マッサージ Mahina")</f>
        <v>鍼灸マッサージ Mahina</v>
      </c>
      <c r="C18" s="7" t="str">
        <f>IFERROR(__xludf.DUMMYFUNCTION("""COMPUTED_VALUE"""),"https://mahina.pupu.jp/")</f>
        <v>https://mahina.pupu.jp/</v>
      </c>
      <c r="D18" s="6" t="str">
        <f>IFERROR(__xludf.DUMMYFUNCTION("""COMPUTED_VALUE"""),"△")</f>
        <v>△</v>
      </c>
      <c r="E18" s="6" t="str">
        <f>IFERROR(__xludf.DUMMYFUNCTION("""COMPUTED_VALUE"""),"手作り感が強い")</f>
        <v>手作り感が強い</v>
      </c>
      <c r="F18" s="8" t="s">
        <v>30</v>
      </c>
    </row>
    <row r="19">
      <c r="A19" s="6" t="str">
        <f t="shared" si="1"/>
        <v>0215</v>
      </c>
      <c r="B19" s="6" t="str">
        <f>IFERROR(__xludf.DUMMYFUNCTION("""COMPUTED_VALUE"""),"占いサロンまほろば")</f>
        <v>占いサロンまほろば</v>
      </c>
      <c r="C19" s="7" t="str">
        <f>IFERROR(__xludf.DUMMYFUNCTION("""COMPUTED_VALUE"""),"https://mahorobafussa.crayonsite.com/")</f>
        <v>https://mahorobafussa.crayonsite.com/</v>
      </c>
      <c r="D19" s="6" t="str">
        <f>IFERROR(__xludf.DUMMYFUNCTION("""COMPUTED_VALUE"""),"△")</f>
        <v>△</v>
      </c>
      <c r="E19" s="6" t="str">
        <f>IFERROR(__xludf.DUMMYFUNCTION("""COMPUTED_VALUE"""),"簡易作成で情報弱い")</f>
        <v>簡易作成で情報弱い</v>
      </c>
      <c r="F19" s="8" t="s">
        <v>31</v>
      </c>
    </row>
    <row r="20">
      <c r="A20" s="6" t="str">
        <f t="shared" si="1"/>
        <v>0216</v>
      </c>
      <c r="B20" s="6" t="str">
        <f>IFERROR(__xludf.DUMMYFUNCTION("""COMPUTED_VALUE"""),"LOTUS REIKI")</f>
        <v>LOTUS REIKI</v>
      </c>
      <c r="C20" s="7" t="str">
        <f>IFERROR(__xludf.DUMMYFUNCTION("""COMPUTED_VALUE"""),"https://lotus-reiki.amebaownd.com/")</f>
        <v>https://lotus-reiki.amebaownd.com/</v>
      </c>
      <c r="D20" s="6" t="str">
        <f>IFERROR(__xludf.DUMMYFUNCTION("""COMPUTED_VALUE"""),"△")</f>
        <v>△</v>
      </c>
      <c r="E20" s="6" t="str">
        <f>IFERROR(__xludf.DUMMYFUNCTION("""COMPUTED_VALUE"""),"Owndで分散気味")</f>
        <v>Owndで分散気味</v>
      </c>
      <c r="F20" s="8" t="s">
        <v>32</v>
      </c>
    </row>
    <row r="21">
      <c r="A21" s="6" t="str">
        <f t="shared" si="1"/>
        <v>0217</v>
      </c>
      <c r="B21" s="6" t="str">
        <f>IFERROR(__xludf.DUMMYFUNCTION("""COMPUTED_VALUE"""),"SALON SORAIRO")</f>
        <v>SALON SORAIRO</v>
      </c>
      <c r="C21" s="7" t="str">
        <f>IFERROR(__xludf.DUMMYFUNCTION("""COMPUTED_VALUE"""),"https://salonsorairo.wixsite.com/salonsorairo/")</f>
        <v>https://salonsorairo.wixsite.com/salonsorairo/</v>
      </c>
      <c r="D21" s="6" t="str">
        <f>IFERROR(__xludf.DUMMYFUNCTION("""COMPUTED_VALUE"""),"△")</f>
        <v>△</v>
      </c>
      <c r="E21" s="6" t="str">
        <f>IFERROR(__xludf.DUMMYFUNCTION("""COMPUTED_VALUE"""),"Wix無料版広告あり")</f>
        <v>Wix無料版広告あり</v>
      </c>
      <c r="F21" s="8" t="s">
        <v>33</v>
      </c>
    </row>
    <row r="22">
      <c r="A22" s="6" t="str">
        <f t="shared" si="1"/>
        <v>0218</v>
      </c>
      <c r="B22" s="6" t="str">
        <f>IFERROR(__xludf.DUMMYFUNCTION("""COMPUTED_VALUE"""),"Healing Atelier")</f>
        <v>Healing Atelier</v>
      </c>
      <c r="C22" s="7" t="str">
        <f>IFERROR(__xludf.DUMMYFUNCTION("""COMPUTED_VALUE"""),"https://healing-atelier.jimdofree.com/")</f>
        <v>https://healing-atelier.jimdofree.com/</v>
      </c>
      <c r="D22" s="6" t="str">
        <f>IFERROR(__xludf.DUMMYFUNCTION("""COMPUTED_VALUE"""),"△")</f>
        <v>△</v>
      </c>
      <c r="E22" s="6" t="str">
        <f>IFERROR(__xludf.DUMMYFUNCTION("""COMPUTED_VALUE"""),"Jimdo簡易")</f>
        <v>Jimdo簡易</v>
      </c>
      <c r="F22" s="8" t="s">
        <v>34</v>
      </c>
    </row>
    <row r="23">
      <c r="A23" s="6" t="str">
        <f t="shared" si="1"/>
        <v>0219</v>
      </c>
      <c r="B23" s="6" t="str">
        <f>IFERROR(__xludf.DUMMYFUNCTION("""COMPUTED_VALUE"""),"鈴木ひなこ公式サイト")</f>
        <v>鈴木ひなこ公式サイト</v>
      </c>
      <c r="C23" s="7" t="str">
        <f>IFERROR(__xludf.DUMMYFUNCTION("""COMPUTED_VALUE"""),"https://saipon.jp/h/fengshui168/")</f>
        <v>https://saipon.jp/h/fengshui168/</v>
      </c>
      <c r="D23" s="6" t="str">
        <f>IFERROR(__xludf.DUMMYFUNCTION("""COMPUTED_VALUE"""),"△")</f>
        <v>△</v>
      </c>
      <c r="E23" s="6" t="str">
        <f>IFERROR(__xludf.DUMMYFUNCTION("""COMPUTED_VALUE"""),"LP形式で限定的")</f>
        <v>LP形式で限定的</v>
      </c>
      <c r="F23" s="8" t="s">
        <v>35</v>
      </c>
    </row>
    <row r="24">
      <c r="A24" s="6" t="str">
        <f t="shared" si="1"/>
        <v>0220</v>
      </c>
      <c r="B24" s="6" t="str">
        <f>IFERROR(__xludf.DUMMYFUNCTION("""COMPUTED_VALUE"""),"西荻窪 占い 蓮華")</f>
        <v>西荻窪 占い 蓮華</v>
      </c>
      <c r="C24" s="7" t="str">
        <f>IFERROR(__xludf.DUMMYFUNCTION("""COMPUTED_VALUE"""),"https://renge-uranai.com/")</f>
        <v>https://renge-uranai.com/</v>
      </c>
      <c r="D24" s="6" t="str">
        <f>IFERROR(__xludf.DUMMYFUNCTION("""COMPUTED_VALUE"""),"△")</f>
        <v>△</v>
      </c>
      <c r="E24" s="6" t="str">
        <f>IFERROR(__xludf.DUMMYFUNCTION("""COMPUTED_VALUE"""),"デザインが古い")</f>
        <v>デザインが古い</v>
      </c>
      <c r="F24" s="8" t="s">
        <v>36</v>
      </c>
    </row>
    <row r="25">
      <c r="A25" s="6" t="str">
        <f t="shared" si="1"/>
        <v>0221</v>
      </c>
      <c r="B25" s="6" t="str">
        <f>IFERROR(__xludf.DUMMYFUNCTION("""COMPUTED_VALUE"""),"ヒーリングサロン手温")</f>
        <v>ヒーリングサロン手温</v>
      </c>
      <c r="C25" s="7" t="str">
        <f>IFERROR(__xludf.DUMMYFUNCTION("""COMPUTED_VALUE"""),"http://www.syuon.jp/")</f>
        <v>http://www.syuon.jp/</v>
      </c>
      <c r="D25" s="6" t="str">
        <f>IFERROR(__xludf.DUMMYFUNCTION("""COMPUTED_VALUE"""),"△")</f>
        <v>△</v>
      </c>
      <c r="E25" s="6" t="str">
        <f>IFERROR(__xludf.DUMMYFUNCTION("""COMPUTED_VALUE"""),"情報はあるが旧式")</f>
        <v>情報はあるが旧式</v>
      </c>
      <c r="F25" s="8" t="s">
        <v>37</v>
      </c>
    </row>
    <row r="26">
      <c r="A26" s="6" t="str">
        <f t="shared" si="1"/>
        <v>0222</v>
      </c>
      <c r="B26" s="6" t="str">
        <f>IFERROR(__xludf.DUMMYFUNCTION("""COMPUTED_VALUE"""),"蓮の香サロン")</f>
        <v>蓮の香サロン</v>
      </c>
      <c r="C26" s="7" t="str">
        <f>IFERROR(__xludf.DUMMYFUNCTION("""COMPUTED_VALUE"""),"https://renkouan.jimdosite.com/")</f>
        <v>https://renkouan.jimdosite.com/</v>
      </c>
      <c r="D26" s="6" t="str">
        <f>IFERROR(__xludf.DUMMYFUNCTION("""COMPUTED_VALUE"""),"△")</f>
        <v>△</v>
      </c>
      <c r="E26" s="6" t="str">
        <f>IFERROR(__xludf.DUMMYFUNCTION("""COMPUTED_VALUE"""),"Jimdoで簡易構成")</f>
        <v>Jimdoで簡易構成</v>
      </c>
      <c r="F26" s="8" t="s">
        <v>38</v>
      </c>
    </row>
    <row r="27">
      <c r="A27" s="6" t="str">
        <f t="shared" si="1"/>
        <v>0223</v>
      </c>
      <c r="B27" s="6" t="str">
        <f>IFERROR(__xludf.DUMMYFUNCTION("""COMPUTED_VALUE"""),"よもぎ蒸し皇帝座燻")</f>
        <v>よもぎ蒸し皇帝座燻</v>
      </c>
      <c r="C27" s="7" t="str">
        <f>IFERROR(__xludf.DUMMYFUNCTION("""COMPUTED_VALUE"""),"http://www.torast.net/")</f>
        <v>http://www.torast.net/</v>
      </c>
      <c r="D27" s="6" t="str">
        <f>IFERROR(__xludf.DUMMYFUNCTION("""COMPUTED_VALUE"""),"△")</f>
        <v>△</v>
      </c>
      <c r="E27" s="6" t="str">
        <f>IFERROR(__xludf.DUMMYFUNCTION("""COMPUTED_VALUE"""),"多店舗だが古め")</f>
        <v>多店舗だが古め</v>
      </c>
      <c r="F27" s="8" t="s">
        <v>39</v>
      </c>
    </row>
    <row r="28">
      <c r="A28" s="6" t="str">
        <f t="shared" si="1"/>
        <v>0224</v>
      </c>
      <c r="B28" s="6" t="str">
        <f>IFERROR(__xludf.DUMMYFUNCTION("""COMPUTED_VALUE"""),"西荻窪 占い 蓮華")</f>
        <v>西荻窪 占い 蓮華</v>
      </c>
      <c r="C28" s="7" t="str">
        <f>IFERROR(__xludf.DUMMYFUNCTION("""COMPUTED_VALUE"""),"https://renge-uranai.com/")</f>
        <v>https://renge-uranai.com/</v>
      </c>
      <c r="D28" s="6" t="str">
        <f>IFERROR(__xludf.DUMMYFUNCTION("""COMPUTED_VALUE"""),"△")</f>
        <v>△</v>
      </c>
      <c r="E28" s="6" t="str">
        <f>IFERROR(__xludf.DUMMYFUNCTION("""COMPUTED_VALUE"""),"デザインが古い")</f>
        <v>デザインが古い</v>
      </c>
      <c r="F28" s="8" t="s">
        <v>40</v>
      </c>
    </row>
    <row r="29">
      <c r="A29" s="6" t="str">
        <f t="shared" si="1"/>
        <v>0225</v>
      </c>
      <c r="B29" s="6" t="str">
        <f>IFERROR(__xludf.DUMMYFUNCTION("""COMPUTED_VALUE"""),"ヒーリングサロン 癒しの森")</f>
        <v>ヒーリングサロン 癒しの森</v>
      </c>
      <c r="C29" s="7" t="str">
        <f>IFERROR(__xludf.DUMMYFUNCTION("""COMPUTED_VALUE"""),"https://iyashinomori-ogikubo.com/")</f>
        <v>https://iyashinomori-ogikubo.com/</v>
      </c>
      <c r="D29" s="6" t="str">
        <f>IFERROR(__xludf.DUMMYFUNCTION("""COMPUTED_VALUE"""),"△")</f>
        <v>△</v>
      </c>
      <c r="E29" s="6" t="str">
        <f>IFERROR(__xludf.DUMMYFUNCTION("""COMPUTED_VALUE"""),"サイトが簡易的")</f>
        <v>サイトが簡易的</v>
      </c>
      <c r="F29" s="8" t="s">
        <v>41</v>
      </c>
    </row>
    <row r="30">
      <c r="A30" s="6" t="str">
        <f t="shared" si="1"/>
        <v>0226</v>
      </c>
      <c r="B30" s="6" t="str">
        <f>IFERROR(__xludf.DUMMYFUNCTION("""COMPUTED_VALUE"""),"現代レイキサポートセンター")</f>
        <v>現代レイキサポートセンター</v>
      </c>
      <c r="C30" s="7" t="str">
        <f>IFERROR(__xludf.DUMMYFUNCTION("""COMPUTED_VALUE"""),"http://reiki-support.com/")</f>
        <v>http://reiki-support.com/</v>
      </c>
      <c r="D30" s="6" t="str">
        <f>IFERROR(__xludf.DUMMYFUNCTION("""COMPUTED_VALUE"""),"△")</f>
        <v>△</v>
      </c>
      <c r="E30" s="6" t="str">
        <f>IFERROR(__xludf.DUMMYFUNCTION("""COMPUTED_VALUE"""),"情報中心で古め")</f>
        <v>情報中心で古め</v>
      </c>
      <c r="F30" s="8" t="s">
        <v>42</v>
      </c>
    </row>
    <row r="31">
      <c r="A31" s="6" t="str">
        <f t="shared" si="1"/>
        <v>0227</v>
      </c>
      <c r="B31" s="6" t="str">
        <f>IFERROR(__xludf.DUMMYFUNCTION("""COMPUTED_VALUE"""),"西荻窪 占い 飛鳥")</f>
        <v>西荻窪 占い 飛鳥</v>
      </c>
      <c r="C31" s="7" t="str">
        <f>IFERROR(__xludf.DUMMYFUNCTION("""COMPUTED_VALUE"""),"https://asuka-uranai.com/")</f>
        <v>https://asuka-uranai.com/</v>
      </c>
      <c r="D31" s="6" t="str">
        <f>IFERROR(__xludf.DUMMYFUNCTION("""COMPUTED_VALUE"""),"△")</f>
        <v>△</v>
      </c>
      <c r="E31" s="6" t="str">
        <f>IFERROR(__xludf.DUMMYFUNCTION("""COMPUTED_VALUE"""),"老舗だが未整備")</f>
        <v>老舗だが未整備</v>
      </c>
      <c r="F31" s="8" t="s">
        <v>43</v>
      </c>
    </row>
    <row r="32">
      <c r="A32" s="6" t="str">
        <f t="shared" si="1"/>
        <v>0228</v>
      </c>
      <c r="B32" s="6" t="str">
        <f>IFERROR(__xludf.DUMMYFUNCTION("""COMPUTED_VALUE"""),"天龍館")</f>
        <v>天龍館</v>
      </c>
      <c r="C32" s="7" t="str">
        <f>IFERROR(__xludf.DUMMYFUNCTION("""COMPUTED_VALUE"""),"https://tenryukan.com/")</f>
        <v>https://tenryukan.com/</v>
      </c>
      <c r="D32" s="6" t="str">
        <f>IFERROR(__xludf.DUMMYFUNCTION("""COMPUTED_VALUE"""),"△")</f>
        <v>△</v>
      </c>
      <c r="E32" s="6" t="str">
        <f>IFERROR(__xludf.DUMMYFUNCTION("""COMPUTED_VALUE"""),"サイトがやや古め")</f>
        <v>サイトがやや古め</v>
      </c>
      <c r="F32" s="8" t="s">
        <v>44</v>
      </c>
    </row>
    <row r="33">
      <c r="A33" s="6" t="str">
        <f t="shared" si="1"/>
        <v>0229</v>
      </c>
      <c r="B33" s="6" t="str">
        <f>IFERROR(__xludf.DUMMYFUNCTION("""COMPUTED_VALUE"""),"西荻窪 占い 蓮華")</f>
        <v>西荻窪 占い 蓮華</v>
      </c>
      <c r="C33" s="7" t="str">
        <f>IFERROR(__xludf.DUMMYFUNCTION("""COMPUTED_VALUE"""),"https://renge-uranai.com/")</f>
        <v>https://renge-uranai.com/</v>
      </c>
      <c r="D33" s="6" t="str">
        <f>IFERROR(__xludf.DUMMYFUNCTION("""COMPUTED_VALUE"""),"△")</f>
        <v>△</v>
      </c>
      <c r="E33" s="6" t="str">
        <f>IFERROR(__xludf.DUMMYFUNCTION("""COMPUTED_VALUE"""),"デザインが古い")</f>
        <v>デザインが古い</v>
      </c>
      <c r="F33" s="8" t="s">
        <v>45</v>
      </c>
    </row>
    <row r="34">
      <c r="A34" s="6" t="str">
        <f t="shared" si="1"/>
        <v>0230</v>
      </c>
      <c r="B34" s="6" t="str">
        <f>IFERROR(__xludf.DUMMYFUNCTION("""COMPUTED_VALUE"""),"ヒーリングサロン 癒しの森")</f>
        <v>ヒーリングサロン 癒しの森</v>
      </c>
      <c r="C34" s="7" t="str">
        <f>IFERROR(__xludf.DUMMYFUNCTION("""COMPUTED_VALUE"""),"https://iyashinomori-ogikubo.com/")</f>
        <v>https://iyashinomori-ogikubo.com/</v>
      </c>
      <c r="D34" s="6" t="str">
        <f>IFERROR(__xludf.DUMMYFUNCTION("""COMPUTED_VALUE"""),"△")</f>
        <v>△</v>
      </c>
      <c r="E34" s="6" t="str">
        <f>IFERROR(__xludf.DUMMYFUNCTION("""COMPUTED_VALUE"""),"サイトが簡易的")</f>
        <v>サイトが簡易的</v>
      </c>
      <c r="F34" s="8" t="s">
        <v>46</v>
      </c>
    </row>
    <row r="35">
      <c r="A35" s="6" t="str">
        <f t="shared" si="1"/>
        <v>0231</v>
      </c>
      <c r="B35" s="6" t="str">
        <f>IFERROR(__xludf.DUMMYFUNCTION("""COMPUTED_VALUE"""),"現代レイキサポートセンター")</f>
        <v>現代レイキサポートセンター</v>
      </c>
      <c r="C35" s="7" t="str">
        <f>IFERROR(__xludf.DUMMYFUNCTION("""COMPUTED_VALUE"""),"http://reiki-support.com/")</f>
        <v>http://reiki-support.com/</v>
      </c>
      <c r="D35" s="6" t="str">
        <f>IFERROR(__xludf.DUMMYFUNCTION("""COMPUTED_VALUE"""),"△")</f>
        <v>△</v>
      </c>
      <c r="E35" s="6" t="str">
        <f>IFERROR(__xludf.DUMMYFUNCTION("""COMPUTED_VALUE"""),"情報中心で古め")</f>
        <v>情報中心で古め</v>
      </c>
      <c r="F35" s="8" t="s">
        <v>47</v>
      </c>
    </row>
    <row r="36">
      <c r="A36" s="6" t="str">
        <f t="shared" si="1"/>
        <v>0232</v>
      </c>
      <c r="B36" s="6" t="str">
        <f>IFERROR(__xludf.DUMMYFUNCTION("""COMPUTED_VALUE"""),"西荻窪 占い 飛鳥")</f>
        <v>西荻窪 占い 飛鳥</v>
      </c>
      <c r="C36" s="7" t="str">
        <f>IFERROR(__xludf.DUMMYFUNCTION("""COMPUTED_VALUE"""),"https://asuka-uranai.com/")</f>
        <v>https://asuka-uranai.com/</v>
      </c>
      <c r="D36" s="6" t="str">
        <f>IFERROR(__xludf.DUMMYFUNCTION("""COMPUTED_VALUE"""),"△")</f>
        <v>△</v>
      </c>
      <c r="E36" s="6" t="str">
        <f>IFERROR(__xludf.DUMMYFUNCTION("""COMPUTED_VALUE"""),"未整備な印象")</f>
        <v>未整備な印象</v>
      </c>
      <c r="F36" s="8" t="s">
        <v>48</v>
      </c>
    </row>
    <row r="37">
      <c r="A37" s="6" t="str">
        <f t="shared" si="1"/>
        <v>0233</v>
      </c>
      <c r="B37" s="1" t="s">
        <v>49</v>
      </c>
      <c r="C37" s="6" t="str">
        <f>COUNTIF(C1:C36)</f>
        <v>#N/A</v>
      </c>
      <c r="F37" s="8" t="s">
        <v>50</v>
      </c>
    </row>
    <row r="38">
      <c r="A38" s="6" t="str">
        <f t="shared" si="1"/>
        <v>0234</v>
      </c>
      <c r="B38" s="6" t="str">
        <f>IFERROR(__xludf.DUMMYFUNCTION("QUERY('板橋区'!A:D, ""select * where C='△'"", 1)"),"店舗名")</f>
        <v>店舗名</v>
      </c>
      <c r="C38" s="6" t="str">
        <f>IFERROR(__xludf.DUMMYFUNCTION("""COMPUTED_VALUE"""),"URL")</f>
        <v>URL</v>
      </c>
      <c r="D38" s="6" t="str">
        <f>IFERROR(__xludf.DUMMYFUNCTION("""COMPUTED_VALUE"""),"判定")</f>
        <v>判定</v>
      </c>
      <c r="E38" s="6" t="str">
        <f>IFERROR(__xludf.DUMMYFUNCTION("""COMPUTED_VALUE"""),"理由")</f>
        <v>理由</v>
      </c>
      <c r="F38" s="8" t="s">
        <v>51</v>
      </c>
    </row>
    <row r="39">
      <c r="A39" s="6" t="str">
        <f t="shared" si="1"/>
        <v>0235</v>
      </c>
      <c r="B39" s="6" t="str">
        <f>IFERROR(__xludf.DUMMYFUNCTION("""COMPUTED_VALUE"""),"さくらハート")</f>
        <v>さくらハート</v>
      </c>
      <c r="C39" s="7" t="str">
        <f>IFERROR(__xludf.DUMMYFUNCTION("""COMPUTED_VALUE"""),"https://sakuraheart.jp/")</f>
        <v>https://sakuraheart.jp/</v>
      </c>
      <c r="D39" s="6" t="str">
        <f>IFERROR(__xludf.DUMMYFUNCTION("""COMPUTED_VALUE"""),"△")</f>
        <v>△</v>
      </c>
      <c r="E39" s="6" t="str">
        <f>IFERROR(__xludf.DUMMYFUNCTION("""COMPUTED_VALUE"""),"テンプレート感・デザインが古い")</f>
        <v>テンプレート感・デザインが古い</v>
      </c>
      <c r="F39" s="8" t="s">
        <v>52</v>
      </c>
    </row>
    <row r="40">
      <c r="A40" s="6" t="str">
        <f t="shared" si="1"/>
        <v>0236</v>
      </c>
      <c r="B40" s="6" t="str">
        <f>IFERROR(__xludf.DUMMYFUNCTION("""COMPUTED_VALUE"""),"Salon★Luminica")</f>
        <v>Salon★Luminica</v>
      </c>
      <c r="C40" s="7" t="str">
        <f>IFERROR(__xludf.DUMMYFUNCTION("""COMPUTED_VALUE"""),"https://salon-luminica.com/")</f>
        <v>https://salon-luminica.com/</v>
      </c>
      <c r="D40" s="6" t="str">
        <f>IFERROR(__xludf.DUMMYFUNCTION("""COMPUTED_VALUE"""),"△")</f>
        <v>△</v>
      </c>
      <c r="E40" s="6" t="str">
        <f>IFERROR(__xludf.DUMMYFUNCTION("""COMPUTED_VALUE"""),"情報過多・デザインが古い")</f>
        <v>情報過多・デザインが古い</v>
      </c>
      <c r="F40" s="8" t="s">
        <v>53</v>
      </c>
    </row>
    <row r="41">
      <c r="A41" s="6" t="str">
        <f t="shared" si="1"/>
        <v>0237</v>
      </c>
      <c r="B41" s="6" t="str">
        <f>IFERROR(__xludf.DUMMYFUNCTION("""COMPUTED_VALUE"""),"占いスピリチュアルアカデミー")</f>
        <v>占いスピリチュアルアカデミー</v>
      </c>
      <c r="C41" s="7" t="str">
        <f>IFERROR(__xludf.DUMMYFUNCTION("""COMPUTED_VALUE"""),"https://seminar-lesson.com/")</f>
        <v>https://seminar-lesson.com/</v>
      </c>
      <c r="D41" s="6" t="str">
        <f>IFERROR(__xludf.DUMMYFUNCTION("""COMPUTED_VALUE"""),"△")</f>
        <v>△</v>
      </c>
      <c r="E41" s="6" t="str">
        <f>IFERROR(__xludf.DUMMYFUNCTION("""COMPUTED_VALUE"""),"アカデミー色が強くデザインが古い")</f>
        <v>アカデミー色が強くデザインが古い</v>
      </c>
      <c r="F41" s="8" t="s">
        <v>54</v>
      </c>
    </row>
    <row r="42">
      <c r="A42" s="6" t="str">
        <f t="shared" si="1"/>
        <v>0238</v>
      </c>
      <c r="B42" s="6" t="str">
        <f>IFERROR(__xludf.DUMMYFUNCTION("""COMPUTED_VALUE"""),"花咲's Healing")</f>
        <v>花咲's Healing</v>
      </c>
      <c r="C42" s="7" t="str">
        <f>IFERROR(__xludf.DUMMYFUNCTION("""COMPUTED_VALUE"""),"https://chisa-healing.storeinfo.jp/")</f>
        <v>https://chisa-healing.storeinfo.jp/</v>
      </c>
      <c r="D42" s="6" t="str">
        <f>IFERROR(__xludf.DUMMYFUNCTION("""COMPUTED_VALUE"""),"△")</f>
        <v>△</v>
      </c>
      <c r="E42" s="6" t="str">
        <f>IFERROR(__xludf.DUMMYFUNCTION("""COMPUTED_VALUE"""),"Ameba Owndで簡易的")</f>
        <v>Ameba Owndで簡易的</v>
      </c>
      <c r="F42" s="8" t="s">
        <v>55</v>
      </c>
    </row>
    <row r="43">
      <c r="A43" s="6" t="str">
        <f t="shared" si="1"/>
        <v>0239</v>
      </c>
      <c r="B43" s="6" t="str">
        <f>IFERROR(__xludf.DUMMYFUNCTION("""COMPUTED_VALUE"""),"ながたにさんの占い")</f>
        <v>ながたにさんの占い</v>
      </c>
      <c r="C43" s="7" t="str">
        <f>IFERROR(__xludf.DUMMYFUNCTION("""COMPUTED_VALUE"""),"https://imagine.whereabouts.jp/")</f>
        <v>https://imagine.whereabouts.jp/</v>
      </c>
      <c r="D43" s="6" t="str">
        <f>IFERROR(__xludf.DUMMYFUNCTION("""COMPUTED_VALUE"""),"△")</f>
        <v>△</v>
      </c>
      <c r="E43" s="6" t="str">
        <f>IFERROR(__xludf.DUMMYFUNCTION("""COMPUTED_VALUE"""),"情報はあるがデザインが古い")</f>
        <v>情報はあるがデザインが古い</v>
      </c>
      <c r="F43" s="8" t="s">
        <v>56</v>
      </c>
    </row>
    <row r="44">
      <c r="A44" s="6" t="str">
        <f t="shared" si="1"/>
        <v>0240</v>
      </c>
      <c r="B44" s="6" t="str">
        <f>IFERROR(__xludf.DUMMYFUNCTION("""COMPUTED_VALUE"""),"feelOASIS")</f>
        <v>feelOASIS</v>
      </c>
      <c r="C44" s="7" t="str">
        <f>IFERROR(__xludf.DUMMYFUNCTION("""COMPUTED_VALUE"""),"https://feeloasis2.sakura.ne.jp/profile.html")</f>
        <v>https://feeloasis2.sakura.ne.jp/profile.html</v>
      </c>
      <c r="D44" s="6" t="str">
        <f>IFERROR(__xludf.DUMMYFUNCTION("""COMPUTED_VALUE"""),"△")</f>
        <v>△</v>
      </c>
      <c r="E44" s="6" t="str">
        <f>IFERROR(__xludf.DUMMYFUNCTION("""COMPUTED_VALUE"""),"情報はあるがデザインが古い")</f>
        <v>情報はあるがデザインが古い</v>
      </c>
      <c r="F44" s="8" t="s">
        <v>57</v>
      </c>
    </row>
    <row r="45">
      <c r="A45" s="6" t="str">
        <f t="shared" si="1"/>
        <v>0241</v>
      </c>
      <c r="B45" s="6" t="str">
        <f>IFERROR(__xludf.DUMMYFUNCTION("""COMPUTED_VALUE"""),"アロマヒーリング カリテス")</f>
        <v>アロマヒーリング カリテス</v>
      </c>
      <c r="C45" s="7" t="str">
        <f>IFERROR(__xludf.DUMMYFUNCTION("""COMPUTED_VALUE"""),"https://charites3.amebaownd.com/")</f>
        <v>https://charites3.amebaownd.com/</v>
      </c>
      <c r="D45" s="6" t="str">
        <f>IFERROR(__xludf.DUMMYFUNCTION("""COMPUTED_VALUE"""),"△")</f>
        <v>△</v>
      </c>
      <c r="E45" s="6" t="str">
        <f>IFERROR(__xludf.DUMMYFUNCTION("""COMPUTED_VALUE"""),"Ownd利用でデザインが簡易的")</f>
        <v>Ownd利用でデザインが簡易的</v>
      </c>
      <c r="F45" s="8" t="s">
        <v>58</v>
      </c>
    </row>
    <row r="46">
      <c r="A46" s="6" t="str">
        <f t="shared" si="1"/>
        <v>0242</v>
      </c>
      <c r="B46" s="6" t="str">
        <f>IFERROR(__xludf.DUMMYFUNCTION("""COMPUTED_VALUE"""),"ヒーリングサロン 花咲")</f>
        <v>ヒーリングサロン 花咲</v>
      </c>
      <c r="C46" s="7" t="str">
        <f>IFERROR(__xludf.DUMMYFUNCTION("""COMPUTED_VALUE"""),"https://chisa-healing.storeinfo.jp/")</f>
        <v>https://chisa-healing.storeinfo.jp/</v>
      </c>
      <c r="D46" s="6" t="str">
        <f>IFERROR(__xludf.DUMMYFUNCTION("""COMPUTED_VALUE"""),"△")</f>
        <v>△</v>
      </c>
      <c r="E46" s="6" t="str">
        <f>IFERROR(__xludf.DUMMYFUNCTION("""COMPUTED_VALUE"""),"Storeinfo利用で情報が限定的")</f>
        <v>Storeinfo利用で情報が限定的</v>
      </c>
      <c r="F46" s="8" t="s">
        <v>59</v>
      </c>
    </row>
    <row r="47">
      <c r="A47" s="6" t="str">
        <f t="shared" si="1"/>
        <v>0243</v>
      </c>
      <c r="B47" s="6" t="str">
        <f>IFERROR(__xludf.DUMMYFUNCTION("""COMPUTED_VALUE"""),"Sehinoa")</f>
        <v>Sehinoa</v>
      </c>
      <c r="C47" s="7" t="str">
        <f>IFERROR(__xludf.DUMMYFUNCTION("""COMPUTED_VALUE"""),"https://select-type.com/s/sehinoa")</f>
        <v>https://select-type.com/s/sehinoa</v>
      </c>
      <c r="D47" s="6" t="str">
        <f>IFERROR(__xludf.DUMMYFUNCTION("""COMPUTED_VALUE"""),"△")</f>
        <v>△</v>
      </c>
      <c r="E47" s="6" t="str">
        <f>IFERROR(__xludf.DUMMYFUNCTION("""COMPUTED_VALUE"""),"予約システム標準で独自性が薄い")</f>
        <v>予約システム標準で独自性が薄い</v>
      </c>
      <c r="F47" s="8" t="s">
        <v>60</v>
      </c>
    </row>
    <row r="48">
      <c r="A48" s="6" t="str">
        <f t="shared" si="1"/>
        <v>0244</v>
      </c>
      <c r="B48" s="6" t="str">
        <f>IFERROR(__xludf.DUMMYFUNCTION("""COMPUTED_VALUE"""),"占い×レイキ BiBi")</f>
        <v>占い×レイキ BiBi</v>
      </c>
      <c r="C48" s="7" t="str">
        <f>IFERROR(__xludf.DUMMYFUNCTION("""COMPUTED_VALUE"""),"https://bibifortunetelling.stores.jp/")</f>
        <v>https://bibifortunetelling.stores.jp/</v>
      </c>
      <c r="D48" s="6" t="str">
        <f>IFERROR(__xludf.DUMMYFUNCTION("""COMPUTED_VALUE"""),"△")</f>
        <v>△</v>
      </c>
      <c r="E48" s="6" t="str">
        <f>IFERROR(__xludf.DUMMYFUNCTION("""COMPUTED_VALUE"""),"STORES利用でECサイト風")</f>
        <v>STORES利用でECサイト風</v>
      </c>
      <c r="F48" s="8" t="s">
        <v>61</v>
      </c>
    </row>
    <row r="49">
      <c r="A49" s="6" t="str">
        <f t="shared" si="1"/>
        <v>0245</v>
      </c>
      <c r="B49" s="6" t="str">
        <f>IFERROR(__xludf.DUMMYFUNCTION("""COMPUTED_VALUE"""),"板橋 占い 蓮華")</f>
        <v>板橋 占い 蓮華</v>
      </c>
      <c r="C49" s="7" t="str">
        <f>IFERROR(__xludf.DUMMYFUNCTION("""COMPUTED_VALUE"""),"https://renge-uranai.com/")</f>
        <v>https://renge-uranai.com/</v>
      </c>
      <c r="D49" s="6" t="str">
        <f>IFERROR(__xludf.DUMMYFUNCTION("""COMPUTED_VALUE"""),"△")</f>
        <v>△</v>
      </c>
      <c r="E49" s="6" t="str">
        <f>IFERROR(__xludf.DUMMYFUNCTION("""COMPUTED_VALUE"""),"情報はあるがデザインが古い")</f>
        <v>情報はあるがデザインが古い</v>
      </c>
      <c r="F49" s="8" t="s">
        <v>62</v>
      </c>
    </row>
    <row r="50">
      <c r="A50" s="6" t="str">
        <f t="shared" si="1"/>
        <v>0246</v>
      </c>
      <c r="B50" s="6" t="str">
        <f>IFERROR(__xludf.DUMMYFUNCTION("""COMPUTED_VALUE"""),"占いサロン 飛鳥")</f>
        <v>占いサロン 飛鳥</v>
      </c>
      <c r="C50" s="7" t="str">
        <f>IFERROR(__xludf.DUMMYFUNCTION("""COMPUTED_VALUE"""),"https://asuka-uranai.com/")</f>
        <v>https://asuka-uranai.com/</v>
      </c>
      <c r="D50" s="6" t="str">
        <f>IFERROR(__xludf.DUMMYFUNCTION("""COMPUTED_VALUE"""),"△")</f>
        <v>△</v>
      </c>
      <c r="E50" s="6" t="str">
        <f>IFERROR(__xludf.DUMMYFUNCTION("""COMPUTED_VALUE"""),"老舗感はあるがサイトは未整備")</f>
        <v>老舗感はあるがサイトは未整備</v>
      </c>
      <c r="F50" s="8" t="s">
        <v>63</v>
      </c>
    </row>
    <row r="51">
      <c r="A51" s="6" t="str">
        <f t="shared" si="1"/>
        <v>0247</v>
      </c>
      <c r="B51" s="6" t="str">
        <f>IFERROR(__xludf.DUMMYFUNCTION("""COMPUTED_VALUE"""),"現代レイキサポート")</f>
        <v>現代レイキサポート</v>
      </c>
      <c r="C51" s="7" t="str">
        <f>IFERROR(__xludf.DUMMYFUNCTION("""COMPUTED_VALUE"""),"http://reiki-support.com/")</f>
        <v>http://reiki-support.com/</v>
      </c>
      <c r="D51" s="6" t="str">
        <f>IFERROR(__xludf.DUMMYFUNCTION("""COMPUTED_VALUE"""),"△")</f>
        <v>△</v>
      </c>
      <c r="E51" s="6" t="str">
        <f>IFERROR(__xludf.DUMMYFUNCTION("""COMPUTED_VALUE"""),"情報提供中心でデザインは古め")</f>
        <v>情報提供中心でデザインは古め</v>
      </c>
      <c r="F51" s="8" t="s">
        <v>64</v>
      </c>
    </row>
    <row r="52">
      <c r="A52" s="6" t="str">
        <f t="shared" si="1"/>
        <v>0248</v>
      </c>
      <c r="B52" s="6" t="str">
        <f>IFERROR(__xludf.DUMMYFUNCTION("""COMPUTED_VALUE"""),"天龍館")</f>
        <v>天龍館</v>
      </c>
      <c r="C52" s="7" t="str">
        <f>IFERROR(__xludf.DUMMYFUNCTION("""COMPUTED_VALUE"""),"https://tenryukan.com/")</f>
        <v>https://tenryukan.com/</v>
      </c>
      <c r="D52" s="6" t="str">
        <f>IFERROR(__xludf.DUMMYFUNCTION("""COMPUTED_VALUE"""),"△")</f>
        <v>△</v>
      </c>
      <c r="E52" s="6" t="str">
        <f>IFERROR(__xludf.DUMMYFUNCTION("""COMPUTED_VALUE"""),"伝統的な占いでサイトは少し古め")</f>
        <v>伝統的な占いでサイトは少し古め</v>
      </c>
      <c r="F52" s="8" t="s">
        <v>65</v>
      </c>
    </row>
    <row r="53">
      <c r="A53" s="6" t="str">
        <f t="shared" si="1"/>
        <v>0249</v>
      </c>
      <c r="B53" s="6" t="str">
        <f>IFERROR(__xludf.DUMMYFUNCTION("""COMPUTED_VALUE"""),"ヒーリングサロン 癒しの森")</f>
        <v>ヒーリングサロン 癒しの森</v>
      </c>
      <c r="C53" s="7" t="str">
        <f>IFERROR(__xludf.DUMMYFUNCTION("""COMPUTED_VALUE"""),"https://iyashinomori-ogikubo.com/")</f>
        <v>https://iyashinomori-ogikubo.com/</v>
      </c>
      <c r="D53" s="6" t="str">
        <f>IFERROR(__xludf.DUMMYFUNCTION("""COMPUTED_VALUE"""),"△")</f>
        <v>△</v>
      </c>
      <c r="E53" s="6" t="str">
        <f>IFERROR(__xludf.DUMMYFUNCTION("""COMPUTED_VALUE"""),"サイトは簡易的")</f>
        <v>サイトは簡易的</v>
      </c>
      <c r="F53" s="8" t="s">
        <v>66</v>
      </c>
    </row>
    <row r="54">
      <c r="A54" s="6" t="str">
        <f t="shared" si="1"/>
        <v>0250</v>
      </c>
      <c r="B54" s="6" t="str">
        <f>IFERROR(__xludf.DUMMYFUNCTION("""COMPUTED_VALUE"""),"feelOASIS")</f>
        <v>feelOASIS</v>
      </c>
      <c r="C54" s="7" t="str">
        <f>IFERROR(__xludf.DUMMYFUNCTION("""COMPUTED_VALUE"""),"https://feeloasis2.sakura.ne.jp/")</f>
        <v>https://feeloasis2.sakura.ne.jp/</v>
      </c>
      <c r="D54" s="6" t="str">
        <f>IFERROR(__xludf.DUMMYFUNCTION("""COMPUTED_VALUE"""),"△")</f>
        <v>△</v>
      </c>
      <c r="E54" s="6" t="str">
        <f>IFERROR(__xludf.DUMMYFUNCTION("""COMPUTED_VALUE"""),"アロマサロンでサイトは少し古め")</f>
        <v>アロマサロンでサイトは少し古め</v>
      </c>
      <c r="F54" s="8" t="s">
        <v>67</v>
      </c>
    </row>
    <row r="55">
      <c r="A55" s="6" t="str">
        <f t="shared" si="1"/>
        <v>0251</v>
      </c>
      <c r="B55" s="6" t="str">
        <f>IFERROR(__xludf.DUMMYFUNCTION("""COMPUTED_VALUE"""),"板橋 占い 飛鳥")</f>
        <v>板橋 占い 飛鳥</v>
      </c>
      <c r="C55" s="7" t="str">
        <f>IFERROR(__xludf.DUMMYFUNCTION("""COMPUTED_VALUE"""),"https://asuka-uranai.com/")</f>
        <v>https://asuka-uranai.com/</v>
      </c>
      <c r="D55" s="6" t="str">
        <f>IFERROR(__xludf.DUMMYFUNCTION("""COMPUTED_VALUE"""),"△")</f>
        <v>△</v>
      </c>
      <c r="E55" s="6" t="str">
        <f>IFERROR(__xludf.DUMMYFUNCTION("""COMPUTED_VALUE"""),"老舗感はあるがサイトは未整備")</f>
        <v>老舗感はあるがサイトは未整備</v>
      </c>
      <c r="F55" s="8" t="s">
        <v>68</v>
      </c>
    </row>
    <row r="56">
      <c r="A56" s="6" t="str">
        <f t="shared" si="1"/>
        <v>0252</v>
      </c>
      <c r="B56" s="6" t="str">
        <f>IFERROR(__xludf.DUMMYFUNCTION("""COMPUTED_VALUE"""),"現代レイキサポート")</f>
        <v>現代レイキサポート</v>
      </c>
      <c r="C56" s="7" t="str">
        <f>IFERROR(__xludf.DUMMYFUNCTION("""COMPUTED_VALUE"""),"http://reiki-support.com/")</f>
        <v>http://reiki-support.com/</v>
      </c>
      <c r="D56" s="6" t="str">
        <f>IFERROR(__xludf.DUMMYFUNCTION("""COMPUTED_VALUE"""),"△")</f>
        <v>△</v>
      </c>
      <c r="E56" s="6" t="str">
        <f>IFERROR(__xludf.DUMMYFUNCTION("""COMPUTED_VALUE"""),"情報提供中心でデザインは古め")</f>
        <v>情報提供中心でデザインは古め</v>
      </c>
      <c r="F56" s="8" t="s">
        <v>69</v>
      </c>
    </row>
    <row r="57">
      <c r="A57" s="6" t="str">
        <f t="shared" si="1"/>
        <v>0253</v>
      </c>
      <c r="B57" s="6" t="str">
        <f>IFERROR(__xludf.DUMMYFUNCTION("""COMPUTED_VALUE"""),"広川いくこ 手相&amp;レイキ")</f>
        <v>広川いくこ 手相&amp;レイキ</v>
      </c>
      <c r="C57" s="7" t="str">
        <f>IFERROR(__xludf.DUMMYFUNCTION("""COMPUTED_VALUE"""),"https://ameblo.jp/pyonta-1205/")</f>
        <v>https://ameblo.jp/pyonta-1205/</v>
      </c>
      <c r="D57" s="6" t="str">
        <f>IFERROR(__xludf.DUMMYFUNCTION("""COMPUTED_VALUE"""),"△")</f>
        <v>△</v>
      </c>
      <c r="E57" s="6" t="str">
        <f>IFERROR(__xludf.DUMMYFUNCTION("""COMPUTED_VALUE"""),"アメブロ中心でデザインは標準的")</f>
        <v>アメブロ中心でデザインは標準的</v>
      </c>
      <c r="F57" s="8" t="s">
        <v>70</v>
      </c>
    </row>
    <row r="58">
      <c r="A58" s="6" t="str">
        <f t="shared" si="1"/>
        <v>0254</v>
      </c>
      <c r="B58" s="6" t="str">
        <f>IFERROR(__xludf.DUMMYFUNCTION("""COMPUTED_VALUE"""),"クリスタライト しょうこ")</f>
        <v>クリスタライト しょうこ</v>
      </c>
      <c r="C58" s="7" t="str">
        <f>IFERROR(__xludf.DUMMYFUNCTION("""COMPUTED_VALUE"""),"https://ameblo.jp/agehaseira/")</f>
        <v>https://ameblo.jp/agehaseira/</v>
      </c>
      <c r="D58" s="6" t="str">
        <f>IFERROR(__xludf.DUMMYFUNCTION("""COMPUTED_VALUE"""),"△")</f>
        <v>△</v>
      </c>
      <c r="E58" s="6" t="str">
        <f>IFERROR(__xludf.DUMMYFUNCTION("""COMPUTED_VALUE"""),"アメブロ利用で情報が分散気味")</f>
        <v>アメブロ利用で情報が分散気味</v>
      </c>
      <c r="F58" s="8" t="s">
        <v>71</v>
      </c>
    </row>
    <row r="59">
      <c r="A59" s="6" t="str">
        <f t="shared" si="1"/>
        <v>0255</v>
      </c>
      <c r="B59" s="6" t="str">
        <f>IFERROR(__xludf.DUMMYFUNCTION("""COMPUTED_VALUE"""),"NEFER (ネフェル)")</f>
        <v>NEFER (ネフェル)</v>
      </c>
      <c r="C59" s="7" t="str">
        <f>IFERROR(__xludf.DUMMYFUNCTION("""COMPUTED_VALUE"""),"https://8nefer8.jimdofree.com/")</f>
        <v>https://8nefer8.jimdofree.com/</v>
      </c>
      <c r="D59" s="6" t="str">
        <f>IFERROR(__xludf.DUMMYFUNCTION("""COMPUTED_VALUE"""),"△")</f>
        <v>△</v>
      </c>
      <c r="E59" s="6" t="str">
        <f>IFERROR(__xludf.DUMMYFUNCTION("""COMPUTED_VALUE"""),"Jimdo利用でデザインが簡易的")</f>
        <v>Jimdo利用でデザインが簡易的</v>
      </c>
      <c r="F59" s="8" t="s">
        <v>72</v>
      </c>
    </row>
    <row r="60">
      <c r="A60" s="6" t="str">
        <f t="shared" si="1"/>
        <v>0256</v>
      </c>
      <c r="B60" s="6" t="str">
        <f>IFERROR(__xludf.DUMMYFUNCTION("""COMPUTED_VALUE"""),"はみんぐ べあ")</f>
        <v>はみんぐ べあ</v>
      </c>
      <c r="C60" s="7" t="str">
        <f>IFERROR(__xludf.DUMMYFUNCTION("""COMPUTED_VALUE"""),"https://ameblo.jp/hummingbeartenka/")</f>
        <v>https://ameblo.jp/hummingbeartenka/</v>
      </c>
      <c r="D60" s="6" t="str">
        <f>IFERROR(__xludf.DUMMYFUNCTION("""COMPUTED_VALUE"""),"△")</f>
        <v>△</v>
      </c>
      <c r="E60" s="6" t="str">
        <f>IFERROR(__xludf.DUMMYFUNCTION("""COMPUTED_VALUE"""),"アメブロ利用のスピリチュアルサロン")</f>
        <v>アメブロ利用のスピリチュアルサロン</v>
      </c>
      <c r="F60" s="8" t="s">
        <v>73</v>
      </c>
    </row>
    <row r="61">
      <c r="A61" s="6" t="str">
        <f t="shared" si="1"/>
        <v>0257</v>
      </c>
      <c r="B61" s="6" t="str">
        <f>IFERROR(__xludf.DUMMYFUNCTION("""COMPUTED_VALUE"""),"天使の遊び場")</f>
        <v>天使の遊び場</v>
      </c>
      <c r="C61" s="7" t="str">
        <f>IFERROR(__xludf.DUMMYFUNCTION("""COMPUTED_VALUE"""),"https://angel-playground.jimdosite.com/")</f>
        <v>https://angel-playground.jimdosite.com/</v>
      </c>
      <c r="D61" s="6" t="str">
        <f>IFERROR(__xludf.DUMMYFUNCTION("""COMPUTED_VALUE"""),"△")</f>
        <v>△</v>
      </c>
      <c r="E61" s="6" t="str">
        <f>IFERROR(__xludf.DUMMYFUNCTION("""COMPUTED_VALUE"""),"Jimdo利用のイベント・サロン")</f>
        <v>Jimdo利用のイベント・サロン</v>
      </c>
      <c r="F61" s="8" t="s">
        <v>74</v>
      </c>
    </row>
    <row r="62">
      <c r="A62" s="6" t="str">
        <f t="shared" si="1"/>
        <v>0258</v>
      </c>
      <c r="B62" s="6" t="str">
        <f>IFERROR(__xludf.DUMMYFUNCTION("""COMPUTED_VALUE"""),"ヒーリングルーム 癒蘭")</f>
        <v>ヒーリングルーム 癒蘭</v>
      </c>
      <c r="C62" s="7" t="str">
        <f>IFERROR(__xludf.DUMMYFUNCTION("""COMPUTED_VALUE"""),"https://yuran-healing.jimdofree.com/")</f>
        <v>https://yuran-healing.jimdofree.com/</v>
      </c>
      <c r="D62" s="6" t="str">
        <f>IFERROR(__xludf.DUMMYFUNCTION("""COMPUTED_VALUE"""),"△")</f>
        <v>△</v>
      </c>
      <c r="E62" s="6" t="str">
        <f>IFERROR(__xludf.DUMMYFUNCTION("""COMPUTED_VALUE"""),"Jimdo利用で構成はシンプル")</f>
        <v>Jimdo利用で構成はシンプル</v>
      </c>
      <c r="F62" s="8" t="s">
        <v>75</v>
      </c>
    </row>
    <row r="63">
      <c r="A63" s="6" t="str">
        <f t="shared" si="1"/>
        <v>0259</v>
      </c>
      <c r="B63" s="6" t="str">
        <f>IFERROR(__xludf.DUMMYFUNCTION("""COMPUTED_VALUE"""),"ぽかぽかプレイス")</f>
        <v>ぽかぽかプレイス</v>
      </c>
      <c r="C63" s="7" t="str">
        <f>IFERROR(__xludf.DUMMYFUNCTION("""COMPUTED_VALUE"""),"https://pokapoka-place.jimdosite.com/")</f>
        <v>https://pokapoka-place.jimdosite.com/</v>
      </c>
      <c r="D63" s="6" t="str">
        <f>IFERROR(__xludf.DUMMYFUNCTION("""COMPUTED_VALUE"""),"△")</f>
        <v>△</v>
      </c>
      <c r="E63" s="6" t="str">
        <f>IFERROR(__xludf.DUMMYFUNCTION("""COMPUTED_VALUE"""),"Jimdo利用のコミュニティサロン")</f>
        <v>Jimdo利用のコミュニティサロン</v>
      </c>
      <c r="F63" s="8" t="s">
        <v>76</v>
      </c>
    </row>
    <row r="64">
      <c r="A64" s="6" t="str">
        <f t="shared" si="1"/>
        <v>0260</v>
      </c>
      <c r="B64" s="6" t="str">
        <f>IFERROR(__xludf.DUMMYFUNCTION("""COMPUTED_VALUE"""),"feelOASIS")</f>
        <v>feelOASIS</v>
      </c>
      <c r="C64" s="7" t="str">
        <f>IFERROR(__xludf.DUMMYFUNCTION("""COMPUTED_VALUE"""),"https://feeloasis2.sakura.ne.jp/")</f>
        <v>https://feeloasis2.sakura.ne.jp/</v>
      </c>
      <c r="D64" s="6" t="str">
        <f>IFERROR(__xludf.DUMMYFUNCTION("""COMPUTED_VALUE"""),"△")</f>
        <v>△</v>
      </c>
      <c r="E64" s="6" t="str">
        <f>IFERROR(__xludf.DUMMYFUNCTION("""COMPUTED_VALUE"""),"アロマサロンでサイトは少し古め")</f>
        <v>アロマサロンでサイトは少し古め</v>
      </c>
      <c r="F64" s="8" t="s">
        <v>77</v>
      </c>
    </row>
    <row r="65">
      <c r="A65" s="6" t="str">
        <f t="shared" si="1"/>
        <v>0261</v>
      </c>
      <c r="B65" s="6" t="str">
        <f>IFERROR(__xludf.DUMMYFUNCTION("""COMPUTED_VALUE"""),"占い×レイキ BiBi")</f>
        <v>占い×レイキ BiBi</v>
      </c>
      <c r="C65" s="7" t="str">
        <f>IFERROR(__xludf.DUMMYFUNCTION("""COMPUTED_VALUE"""),"https://bibifortunetelling.stores.jp/")</f>
        <v>https://bibifortunetelling.stores.jp/</v>
      </c>
      <c r="D65" s="6" t="str">
        <f>IFERROR(__xludf.DUMMYFUNCTION("""COMPUTED_VALUE"""),"△")</f>
        <v>△</v>
      </c>
      <c r="E65" s="6" t="str">
        <f>IFERROR(__xludf.DUMMYFUNCTION("""COMPUTED_VALUE"""),"STORES利用でECサイト風")</f>
        <v>STORES利用でECサイト風</v>
      </c>
      <c r="F65" s="8" t="s">
        <v>78</v>
      </c>
    </row>
    <row r="66">
      <c r="A66" s="6" t="str">
        <f t="shared" si="1"/>
        <v>0262</v>
      </c>
      <c r="B66" s="1" t="s">
        <v>79</v>
      </c>
      <c r="F66" s="8" t="s">
        <v>80</v>
      </c>
    </row>
    <row r="67">
      <c r="A67" s="6" t="str">
        <f t="shared" si="1"/>
        <v>0263</v>
      </c>
      <c r="B67" s="6" t="str">
        <f>IFERROR(__xludf.DUMMYFUNCTION("QUERY('北区'!A:D, ""select * where C='△'"", 1)"),"ALMA MIYOKO")</f>
        <v>ALMA MIYOKO</v>
      </c>
      <c r="C67" s="7" t="str">
        <f>IFERROR(__xludf.DUMMYFUNCTION("""COMPUTED_VALUE"""),"https://www.almamiyoko.com/")</f>
        <v>https://www.almamiyoko.com/</v>
      </c>
      <c r="D67" s="6" t="str">
        <f>IFERROR(__xludf.DUMMYFUNCTION("""COMPUTED_VALUE"""),"○")</f>
        <v>○</v>
      </c>
      <c r="E67" s="6" t="str">
        <f>IFERROR(__xludf.DUMMYFUNCTION("""COMPUTED_VALUE"""),"デザインが整いプロ的")</f>
        <v>デザインが整いプロ的</v>
      </c>
      <c r="F67" s="8" t="s">
        <v>81</v>
      </c>
    </row>
    <row r="68">
      <c r="A68" s="6" t="str">
        <f t="shared" si="1"/>
        <v>0264</v>
      </c>
      <c r="B68" s="6" t="str">
        <f>IFERROR(__xludf.DUMMYFUNCTION("""COMPUTED_VALUE"""),"占い館 クリスタル")</f>
        <v>占い館 クリスタル</v>
      </c>
      <c r="C68" s="7" t="str">
        <f>IFERROR(__xludf.DUMMYFUNCTION("""COMPUTED_VALUE"""),"http://fortunecrystal.web.fc2.com/")</f>
        <v>http://fortunecrystal.web.fc2.com/</v>
      </c>
      <c r="D68" s="6" t="str">
        <f>IFERROR(__xludf.DUMMYFUNCTION("""COMPUTED_VALUE"""),"△")</f>
        <v>△</v>
      </c>
      <c r="E68" s="6" t="str">
        <f>IFERROR(__xludf.DUMMYFUNCTION("""COMPUTED_VALUE"""),"デザインが古く見づらい")</f>
        <v>デザインが古く見づらい</v>
      </c>
      <c r="F68" s="8" t="s">
        <v>82</v>
      </c>
    </row>
    <row r="69">
      <c r="A69" s="6" t="str">
        <f t="shared" si="1"/>
        <v>0265</v>
      </c>
      <c r="B69" s="6" t="str">
        <f>IFERROR(__xludf.DUMMYFUNCTION("""COMPUTED_VALUE"""),"はみんぐ べあ")</f>
        <v>はみんぐ べあ</v>
      </c>
      <c r="C69" s="7" t="str">
        <f>IFERROR(__xludf.DUMMYFUNCTION("""COMPUTED_VALUE"""),"https://www2.hp-ez.com/hp/humming-bear")</f>
        <v>https://www2.hp-ez.com/hp/humming-bear</v>
      </c>
      <c r="D69" s="6" t="str">
        <f>IFERROR(__xludf.DUMMYFUNCTION("""COMPUTED_VALUE"""),"△")</f>
        <v>△</v>
      </c>
      <c r="E69" s="6" t="str">
        <f>IFERROR(__xludf.DUMMYFUNCTION("""COMPUTED_VALUE"""),"無料HPでデザイン古い")</f>
        <v>無料HPでデザイン古い</v>
      </c>
      <c r="F69" s="8" t="s">
        <v>83</v>
      </c>
    </row>
    <row r="70">
      <c r="A70" s="6" t="str">
        <f t="shared" si="1"/>
        <v>0266</v>
      </c>
      <c r="B70" s="6" t="str">
        <f>IFERROR(__xludf.DUMMYFUNCTION("""COMPUTED_VALUE"""),"アトリエ雑貨カフェHANAPEKO")</f>
        <v>アトリエ雑貨カフェHANAPEKO</v>
      </c>
      <c r="C70" s="7" t="str">
        <f>IFERROR(__xludf.DUMMYFUNCTION("""COMPUTED_VALUE"""),"https://r.goope.jp/hanapeko")</f>
        <v>https://r.goope.jp/hanapeko</v>
      </c>
      <c r="D70" s="6" t="str">
        <f>IFERROR(__xludf.DUMMYFUNCTION("""COMPUTED_VALUE"""),"△")</f>
        <v>△</v>
      </c>
      <c r="E70" s="6" t="str">
        <f>IFERROR(__xludf.DUMMYFUNCTION("""COMPUTED_VALUE"""),"簡易HPで情報が混在")</f>
        <v>簡易HPで情報が混在</v>
      </c>
      <c r="F70" s="8" t="s">
        <v>84</v>
      </c>
    </row>
    <row r="71">
      <c r="A71" s="6" t="str">
        <f t="shared" si="1"/>
        <v>0267</v>
      </c>
      <c r="B71" s="6" t="str">
        <f>IFERROR(__xludf.DUMMYFUNCTION("""COMPUTED_VALUE"""),"はみんぐ べあ")</f>
        <v>はみんぐ べあ</v>
      </c>
      <c r="C71" s="7" t="str">
        <f>IFERROR(__xludf.DUMMYFUNCTION("""COMPUTED_VALUE"""),"https://www2.hp-ez.com/hp/humming-bear/")</f>
        <v>https://www2.hp-ez.com/hp/humming-bear/</v>
      </c>
      <c r="D71" s="6" t="str">
        <f>IFERROR(__xludf.DUMMYFUNCTION("""COMPUTED_VALUE"""),"△")</f>
        <v>△</v>
      </c>
      <c r="E71" s="6" t="str">
        <f>IFERROR(__xludf.DUMMYFUNCTION("""COMPUTED_VALUE"""),"無料HPサービス利用でデザインは古め")</f>
        <v>無料HPサービス利用でデザインは古め</v>
      </c>
      <c r="F71" s="8" t="s">
        <v>85</v>
      </c>
    </row>
    <row r="72">
      <c r="A72" s="6" t="str">
        <f t="shared" si="1"/>
        <v>0268</v>
      </c>
      <c r="B72" s="6" t="str">
        <f>IFERROR(__xludf.DUMMYFUNCTION("""COMPUTED_VALUE"""),"天龍館")</f>
        <v>天龍館</v>
      </c>
      <c r="C72" s="7" t="str">
        <f>IFERROR(__xludf.DUMMYFUNCTION("""COMPUTED_VALUE"""),"https://tenryukan.com/")</f>
        <v>https://tenryukan.com/</v>
      </c>
      <c r="D72" s="6" t="str">
        <f>IFERROR(__xludf.DUMMYFUNCTION("""COMPUTED_VALUE"""),"△")</f>
        <v>△</v>
      </c>
      <c r="E72" s="6" t="str">
        <f>IFERROR(__xludf.DUMMYFUNCTION("""COMPUTED_VALUE"""),"伝統的な占いでサイトは少し古め")</f>
        <v>伝統的な占いでサイトは少し古め</v>
      </c>
      <c r="F72" s="8" t="s">
        <v>86</v>
      </c>
    </row>
    <row r="73">
      <c r="A73" s="6" t="str">
        <f t="shared" si="1"/>
        <v>0269</v>
      </c>
      <c r="B73" s="6" t="str">
        <f>IFERROR(__xludf.DUMMYFUNCTION("""COMPUTED_VALUE"""),"ヒーリングサロン 癒しの森")</f>
        <v>ヒーリングサロン 癒しの森</v>
      </c>
      <c r="C73" s="7" t="str">
        <f>IFERROR(__xludf.DUMMYFUNCTION("""COMPUTED_VALUE"""),"https://iyashinomori-ogikubo.com/")</f>
        <v>https://iyashinomori-ogikubo.com/</v>
      </c>
      <c r="D73" s="6" t="str">
        <f>IFERROR(__xludf.DUMMYFUNCTION("""COMPUTED_VALUE"""),"△")</f>
        <v>△</v>
      </c>
      <c r="E73" s="6" t="str">
        <f>IFERROR(__xludf.DUMMYFUNCTION("""COMPUTED_VALUE"""),"サイトは簡易的")</f>
        <v>サイトは簡易的</v>
      </c>
      <c r="F73" s="8" t="s">
        <v>87</v>
      </c>
    </row>
    <row r="74">
      <c r="A74" s="6" t="str">
        <f t="shared" si="1"/>
        <v>0270</v>
      </c>
      <c r="B74" s="6" t="str">
        <f>IFERROR(__xludf.DUMMYFUNCTION("""COMPUTED_VALUE"""),"feelOASIS")</f>
        <v>feelOASIS</v>
      </c>
      <c r="C74" s="7" t="str">
        <f>IFERROR(__xludf.DUMMYFUNCTION("""COMPUTED_VALUE"""),"https://feeloasis2.sakura.ne.jp/")</f>
        <v>https://feeloasis2.sakura.ne.jp/</v>
      </c>
      <c r="D74" s="6" t="str">
        <f>IFERROR(__xludf.DUMMYFUNCTION("""COMPUTED_VALUE"""),"△")</f>
        <v>△</v>
      </c>
      <c r="E74" s="6" t="str">
        <f>IFERROR(__xludf.DUMMYFUNCTION("""COMPUTED_VALUE"""),"アロマサロンでサイトは少し古め")</f>
        <v>アロマサロンでサイトは少し古め</v>
      </c>
      <c r="F74" s="8" t="s">
        <v>88</v>
      </c>
    </row>
    <row r="75">
      <c r="A75" s="6" t="str">
        <f t="shared" si="1"/>
        <v>0271</v>
      </c>
      <c r="B75" s="6" t="str">
        <f>IFERROR(__xludf.DUMMYFUNCTION("""COMPUTED_VALUE"""),"占い×レイキ BiBi")</f>
        <v>占い×レイキ BiBi</v>
      </c>
      <c r="C75" s="7" t="str">
        <f>IFERROR(__xludf.DUMMYFUNCTION("""COMPUTED_VALUE"""),"https://bibifortunetelling.stores.jp/")</f>
        <v>https://bibifortunetelling.stores.jp/</v>
      </c>
      <c r="D75" s="6" t="str">
        <f>IFERROR(__xludf.DUMMYFUNCTION("""COMPUTED_VALUE"""),"△")</f>
        <v>△</v>
      </c>
      <c r="E75" s="6" t="str">
        <f>IFERROR(__xludf.DUMMYFUNCTION("""COMPUTED_VALUE"""),"STORES利用でECサイト風")</f>
        <v>STORES利用でECサイト風</v>
      </c>
      <c r="F75" s="8" t="s">
        <v>89</v>
      </c>
    </row>
    <row r="76">
      <c r="A76" s="6" t="str">
        <f t="shared" si="1"/>
        <v>0272</v>
      </c>
      <c r="B76" s="6" t="str">
        <f>IFERROR(__xludf.DUMMYFUNCTION("""COMPUTED_VALUE"""),"Sehinoa")</f>
        <v>Sehinoa</v>
      </c>
      <c r="C76" s="7" t="str">
        <f>IFERROR(__xludf.DUMMYFUNCTION("""COMPUTED_VALUE"""),"https://select-type.com/s/sehinoa")</f>
        <v>https://select-type.com/s/sehinoa</v>
      </c>
      <c r="D76" s="6" t="str">
        <f>IFERROR(__xludf.DUMMYFUNCTION("""COMPUTED_VALUE"""),"△")</f>
        <v>△</v>
      </c>
      <c r="E76" s="6" t="str">
        <f>IFERROR(__xludf.DUMMYFUNCTION("""COMPUTED_VALUE"""),"予約システム標準で独自性が薄い")</f>
        <v>予約システム標準で独自性が薄い</v>
      </c>
      <c r="F76" s="8" t="s">
        <v>90</v>
      </c>
    </row>
    <row r="77">
      <c r="A77" s="6" t="str">
        <f t="shared" si="1"/>
        <v>0273</v>
      </c>
      <c r="B77" s="6" t="str">
        <f>IFERROR(__xludf.DUMMYFUNCTION("""COMPUTED_VALUE"""),"Amrita Rose")</f>
        <v>Amrita Rose</v>
      </c>
      <c r="C77" s="7" t="str">
        <f>IFERROR(__xludf.DUMMYFUNCTION("""COMPUTED_VALUE"""),"https://amrita-rose.jimdosite.com/")</f>
        <v>https://amrita-rose.jimdosite.com/</v>
      </c>
      <c r="D77" s="6" t="str">
        <f>IFERROR(__xludf.DUMMYFUNCTION("""COMPUTED_VALUE"""),"△")</f>
        <v>△</v>
      </c>
      <c r="E77" s="6" t="str">
        <f>IFERROR(__xludf.DUMMYFUNCTION("""COMPUTED_VALUE"""),"Jimdo利用でデザインが簡易的")</f>
        <v>Jimdo利用でデザインが簡易的</v>
      </c>
      <c r="F77" s="8" t="s">
        <v>91</v>
      </c>
    </row>
    <row r="78">
      <c r="A78" s="6" t="str">
        <f t="shared" si="1"/>
        <v>0274</v>
      </c>
      <c r="B78" s="6" t="str">
        <f>IFERROR(__xludf.DUMMYFUNCTION("""COMPUTED_VALUE"""),"はみんぐ べあ")</f>
        <v>はみんぐ べあ</v>
      </c>
      <c r="C78" s="7" t="str">
        <f>IFERROR(__xludf.DUMMYFUNCTION("""COMPUTED_VALUE"""),"https://www2.hp-ez.com/hp/humming-bear/")</f>
        <v>https://www2.hp-ez.com/hp/humming-bear/</v>
      </c>
      <c r="D78" s="6" t="str">
        <f>IFERROR(__xludf.DUMMYFUNCTION("""COMPUTED_VALUE"""),"△")</f>
        <v>△</v>
      </c>
      <c r="E78" s="6" t="str">
        <f>IFERROR(__xludf.DUMMYFUNCTION("""COMPUTED_VALUE"""),"無料HPサービス利用でデザインは古め")</f>
        <v>無料HPサービス利用でデザインは古め</v>
      </c>
      <c r="F78" s="8" t="s">
        <v>92</v>
      </c>
    </row>
    <row r="79">
      <c r="A79" s="6" t="str">
        <f t="shared" si="1"/>
        <v>0275</v>
      </c>
      <c r="B79" s="6" t="str">
        <f>IFERROR(__xludf.DUMMYFUNCTION("""COMPUTED_VALUE"""),"天龍館")</f>
        <v>天龍館</v>
      </c>
      <c r="C79" s="7" t="str">
        <f>IFERROR(__xludf.DUMMYFUNCTION("""COMPUTED_VALUE"""),"https://tenryukan.com/")</f>
        <v>https://tenryukan.com/</v>
      </c>
      <c r="D79" s="6" t="str">
        <f>IFERROR(__xludf.DUMMYFUNCTION("""COMPUTED_VALUE"""),"△")</f>
        <v>△</v>
      </c>
      <c r="E79" s="6" t="str">
        <f>IFERROR(__xludf.DUMMYFUNCTION("""COMPUTED_VALUE"""),"伝統的な占いでサイトは少し古め")</f>
        <v>伝統的な占いでサイトは少し古め</v>
      </c>
      <c r="F79" s="8" t="s">
        <v>93</v>
      </c>
    </row>
    <row r="80">
      <c r="A80" s="6" t="str">
        <f t="shared" si="1"/>
        <v>0276</v>
      </c>
      <c r="B80" s="6" t="str">
        <f>IFERROR(__xludf.DUMMYFUNCTION("""COMPUTED_VALUE"""),"ヒーリングサロン 癒しの森")</f>
        <v>ヒーリングサロン 癒しの森</v>
      </c>
      <c r="C80" s="7" t="str">
        <f>IFERROR(__xludf.DUMMYFUNCTION("""COMPUTED_VALUE"""),"https://iyashinomori-ogikubo.com/")</f>
        <v>https://iyashinomori-ogikubo.com/</v>
      </c>
      <c r="D80" s="6" t="str">
        <f>IFERROR(__xludf.DUMMYFUNCTION("""COMPUTED_VALUE"""),"△")</f>
        <v>△</v>
      </c>
      <c r="E80" s="6" t="str">
        <f>IFERROR(__xludf.DUMMYFUNCTION("""COMPUTED_VALUE"""),"サイトは簡易的")</f>
        <v>サイトは簡易的</v>
      </c>
      <c r="F80" s="8" t="s">
        <v>94</v>
      </c>
    </row>
    <row r="81">
      <c r="A81" s="6" t="str">
        <f t="shared" si="1"/>
        <v>0277</v>
      </c>
      <c r="B81" s="1" t="s">
        <v>95</v>
      </c>
      <c r="F81" s="8" t="s">
        <v>96</v>
      </c>
    </row>
    <row r="82">
      <c r="A82" s="6" t="str">
        <f t="shared" si="1"/>
        <v>0278</v>
      </c>
      <c r="B82" s="6" t="str">
        <f>IFERROR(__xludf.DUMMYFUNCTION("QUERY('中野区'!A:D, ""select * where C='△'"", 1)"),"店名")</f>
        <v>店名</v>
      </c>
      <c r="C82" s="6" t="str">
        <f>IFERROR(__xludf.DUMMYFUNCTION("""COMPUTED_VALUE"""),"公式WebサイトURL")</f>
        <v>公式WebサイトURL</v>
      </c>
      <c r="D82" s="6" t="str">
        <f>IFERROR(__xludf.DUMMYFUNCTION("""COMPUTED_VALUE"""),"")</f>
        <v/>
      </c>
      <c r="E82" s="6" t="str">
        <f>IFERROR(__xludf.DUMMYFUNCTION("""COMPUTED_VALUE"""),"メールアドレス")</f>
        <v>メールアドレス</v>
      </c>
      <c r="F82" s="8" t="s">
        <v>97</v>
      </c>
    </row>
    <row r="83">
      <c r="A83" s="6" t="str">
        <f t="shared" si="1"/>
        <v>0279</v>
      </c>
      <c r="B83" s="6" t="str">
        <f>IFERROR(__xludf.DUMMYFUNCTION("""COMPUTED_VALUE"""),"REIKI BY YUKO")</f>
        <v>REIKI BY YUKO</v>
      </c>
      <c r="C83" s="7" t="str">
        <f>IFERROR(__xludf.DUMMYFUNCTION("""COMPUTED_VALUE"""),"https://www.reikibyyuko.com/reiki-J.htm")</f>
        <v>https://www.reikibyyuko.com/reiki-J.htm</v>
      </c>
      <c r="D83" s="6" t="str">
        <f>IFERROR(__xludf.DUMMYFUNCTION("""COMPUTED_VALUE"""),"△")</f>
        <v>△</v>
      </c>
      <c r="E83" s="6" t="str">
        <f>IFERROR(__xludf.DUMMYFUNCTION("""COMPUTED_VALUE"""),"info@reikiyuko.com")</f>
        <v>info@reikiyuko.com</v>
      </c>
      <c r="F83" s="8" t="s">
        <v>98</v>
      </c>
    </row>
    <row r="84">
      <c r="A84" s="6" t="str">
        <f t="shared" si="1"/>
        <v>0280</v>
      </c>
      <c r="B84" s="6" t="str">
        <f>IFERROR(__xludf.DUMMYFUNCTION("""COMPUTED_VALUE"""),"スピリチュアルレイキセンター")</f>
        <v>スピリチュアルレイキセンター</v>
      </c>
      <c r="C84" s="7" t="str">
        <f>IFERROR(__xludf.DUMMYFUNCTION("""COMPUTED_VALUE"""),"https://www.healing10.com/")</f>
        <v>https://www.healing10.com/</v>
      </c>
      <c r="D84" s="6" t="str">
        <f>IFERROR(__xludf.DUMMYFUNCTION("""COMPUTED_VALUE"""),"△")</f>
        <v>△</v>
      </c>
      <c r="E84" s="6" t="str">
        <f>IFERROR(__xludf.DUMMYFUNCTION("""COMPUTED_VALUE"""),"なし")</f>
        <v>なし</v>
      </c>
      <c r="F84" s="8" t="s">
        <v>99</v>
      </c>
    </row>
    <row r="85">
      <c r="A85" s="6" t="str">
        <f t="shared" si="1"/>
        <v>0281</v>
      </c>
      <c r="B85" s="6" t="str">
        <f>IFERROR(__xludf.DUMMYFUNCTION("""COMPUTED_VALUE"""),"清宮一成")</f>
        <v>清宮一成</v>
      </c>
      <c r="C85" s="7" t="str">
        <f>IFERROR(__xludf.DUMMYFUNCTION("""COMPUTED_VALUE"""),"http://www.seimiya-issei.com/")</f>
        <v>http://www.seimiya-issei.com/</v>
      </c>
      <c r="D85" s="6" t="str">
        <f>IFERROR(__xludf.DUMMYFUNCTION("""COMPUTED_VALUE"""),"△")</f>
        <v>△</v>
      </c>
      <c r="E85" s="6" t="str">
        <f>IFERROR(__xludf.DUMMYFUNCTION("""COMPUTED_VALUE"""),"contact@seimiya-issei.com")</f>
        <v>contact@seimiya-issei.com</v>
      </c>
      <c r="F85" s="8" t="s">
        <v>100</v>
      </c>
    </row>
    <row r="86">
      <c r="A86" s="6" t="str">
        <f t="shared" si="1"/>
        <v>0282</v>
      </c>
      <c r="B86" s="6" t="str">
        <f>IFERROR(__xludf.DUMMYFUNCTION("""COMPUTED_VALUE"""),"占い・ばるばら")</f>
        <v>占い・ばるばら</v>
      </c>
      <c r="C86" s="7" t="str">
        <f>IFERROR(__xludf.DUMMYFUNCTION("""COMPUTED_VALUE"""),"http://uranaibarbara.blog.fc2.com/")</f>
        <v>http://uranaibarbara.blog.fc2.com/</v>
      </c>
      <c r="D86" s="6" t="str">
        <f>IFERROR(__xludf.DUMMYFUNCTION("""COMPUTED_VALUE"""),"△")</f>
        <v>△</v>
      </c>
      <c r="E86" s="6" t="str">
        <f>IFERROR(__xludf.DUMMYFUNCTION("""COMPUTED_VALUE"""),"なし")</f>
        <v>なし</v>
      </c>
      <c r="F86" s="8" t="s">
        <v>101</v>
      </c>
    </row>
    <row r="87">
      <c r="A87" s="6" t="str">
        <f t="shared" si="1"/>
        <v>0283</v>
      </c>
      <c r="B87" s="6" t="str">
        <f>IFERROR(__xludf.DUMMYFUNCTION("""COMPUTED_VALUE"""),"占いの館ランプ")</f>
        <v>占いの館ランプ</v>
      </c>
      <c r="C87" s="7" t="str">
        <f>IFERROR(__xludf.DUMMYFUNCTION("""COMPUTED_VALUE"""),"https://lamp-web.com/")</f>
        <v>https://lamp-web.com/</v>
      </c>
      <c r="D87" s="6" t="str">
        <f>IFERROR(__xludf.DUMMYFUNCTION("""COMPUTED_VALUE"""),"△")</f>
        <v>△</v>
      </c>
      <c r="E87" s="6" t="str">
        <f>IFERROR(__xludf.DUMMYFUNCTION("""COMPUTED_VALUE"""),"info@lamp-web.com")</f>
        <v>info@lamp-web.com</v>
      </c>
      <c r="F87" s="8" t="s">
        <v>102</v>
      </c>
    </row>
    <row r="88">
      <c r="A88" s="6" t="str">
        <f t="shared" si="1"/>
        <v>0284</v>
      </c>
      <c r="B88" s="6" t="str">
        <f>IFERROR(__xludf.DUMMYFUNCTION("""COMPUTED_VALUE"""),"天龍館")</f>
        <v>天龍館</v>
      </c>
      <c r="C88" s="7" t="str">
        <f>IFERROR(__xludf.DUMMYFUNCTION("""COMPUTED_VALUE"""),"https://tenryukan.com/")</f>
        <v>https://tenryukan.com/</v>
      </c>
      <c r="D88" s="6" t="str">
        <f>IFERROR(__xludf.DUMMYFUNCTION("""COMPUTED_VALUE"""),"△")</f>
        <v>△</v>
      </c>
      <c r="E88" s="6" t="str">
        <f>IFERROR(__xludf.DUMMYFUNCTION("""COMPUTED_VALUE"""),"伝統的な占いでサイトは少し古め")</f>
        <v>伝統的な占いでサイトは少し古め</v>
      </c>
      <c r="F88" s="8" t="s">
        <v>103</v>
      </c>
    </row>
    <row r="89">
      <c r="A89" s="6" t="str">
        <f t="shared" si="1"/>
        <v>0285</v>
      </c>
      <c r="B89" s="6" t="str">
        <f>IFERROR(__xludf.DUMMYFUNCTION("""COMPUTED_VALUE"""),"ヒーリングサロン 癒しの森")</f>
        <v>ヒーリングサロン 癒しの森</v>
      </c>
      <c r="C89" s="7" t="str">
        <f>IFERROR(__xludf.DUMMYFUNCTION("""COMPUTED_VALUE"""),"https://iyashinomori-ogikubo.com/")</f>
        <v>https://iyashinomori-ogikubo.com/</v>
      </c>
      <c r="D89" s="6" t="str">
        <f>IFERROR(__xludf.DUMMYFUNCTION("""COMPUTED_VALUE"""),"△")</f>
        <v>△</v>
      </c>
      <c r="E89" s="6" t="str">
        <f>IFERROR(__xludf.DUMMYFUNCTION("""COMPUTED_VALUE"""),"サイトは簡易的")</f>
        <v>サイトは簡易的</v>
      </c>
      <c r="F89" s="8" t="s">
        <v>104</v>
      </c>
    </row>
    <row r="90">
      <c r="A90" s="6" t="str">
        <f t="shared" si="1"/>
        <v>0286</v>
      </c>
      <c r="B90" s="6" t="str">
        <f>IFERROR(__xludf.DUMMYFUNCTION("""COMPUTED_VALUE"""),"feelOASIS")</f>
        <v>feelOASIS</v>
      </c>
      <c r="C90" s="7" t="str">
        <f>IFERROR(__xludf.DUMMYFUNCTION("""COMPUTED_VALUE"""),"https://feeloasis2.sakura.ne.jp/")</f>
        <v>https://feeloasis2.sakura.ne.jp/</v>
      </c>
      <c r="D90" s="6" t="str">
        <f>IFERROR(__xludf.DUMMYFUNCTION("""COMPUTED_VALUE"""),"△")</f>
        <v>△</v>
      </c>
      <c r="E90" s="6" t="str">
        <f>IFERROR(__xludf.DUMMYFUNCTION("""COMPUTED_VALUE"""),"アロマサロンでサイトは少し古め")</f>
        <v>アロマサロンでサイトは少し古め</v>
      </c>
      <c r="F90" s="8" t="s">
        <v>105</v>
      </c>
    </row>
    <row r="91">
      <c r="A91" s="6" t="str">
        <f t="shared" si="1"/>
        <v>0287</v>
      </c>
      <c r="B91" s="6" t="str">
        <f>IFERROR(__xludf.DUMMYFUNCTION("""COMPUTED_VALUE"""),"占い×レイキ BiBi")</f>
        <v>占い×レイキ BiBi</v>
      </c>
      <c r="C91" s="7" t="str">
        <f>IFERROR(__xludf.DUMMYFUNCTION("""COMPUTED_VALUE"""),"https://bibifortunetelling.stores.jp/")</f>
        <v>https://bibifortunetelling.stores.jp/</v>
      </c>
      <c r="D91" s="6" t="str">
        <f>IFERROR(__xludf.DUMMYFUNCTION("""COMPUTED_VALUE"""),"△")</f>
        <v>△</v>
      </c>
      <c r="E91" s="6" t="str">
        <f>IFERROR(__xludf.DUMMYFUNCTION("""COMPUTED_VALUE"""),"STORES利用でECサイト風")</f>
        <v>STORES利用でECサイト風</v>
      </c>
      <c r="F91" s="8" t="s">
        <v>106</v>
      </c>
    </row>
    <row r="92">
      <c r="A92" s="6" t="str">
        <f t="shared" si="1"/>
        <v>0288</v>
      </c>
      <c r="B92" s="6" t="str">
        <f>IFERROR(__xludf.DUMMYFUNCTION("""COMPUTED_VALUE"""),"広川いくこ 手相&amp;レイキ")</f>
        <v>広川いくこ 手相&amp;レイキ</v>
      </c>
      <c r="C92" s="7" t="str">
        <f>IFERROR(__xludf.DUMMYFUNCTION("""COMPUTED_VALUE"""),"https://ameblo.jp/pyonta-1205/")</f>
        <v>https://ameblo.jp/pyonta-1205/</v>
      </c>
      <c r="D92" s="6" t="str">
        <f>IFERROR(__xludf.DUMMYFUNCTION("""COMPUTED_VALUE"""),"△")</f>
        <v>△</v>
      </c>
      <c r="E92" s="6" t="str">
        <f>IFERROR(__xludf.DUMMYFUNCTION("""COMPUTED_VALUE"""),"アメブロ中心でデザインは標準的")</f>
        <v>アメブロ中心でデザインは標準的</v>
      </c>
      <c r="F92" s="8" t="s">
        <v>107</v>
      </c>
    </row>
    <row r="93">
      <c r="A93" s="6" t="str">
        <f t="shared" si="1"/>
        <v>0289</v>
      </c>
      <c r="B93" s="6" t="str">
        <f>IFERROR(__xludf.DUMMYFUNCTION("""COMPUTED_VALUE"""),"クリスタライト しょうこ")</f>
        <v>クリスタライト しょうこ</v>
      </c>
      <c r="C93" s="7" t="str">
        <f>IFERROR(__xludf.DUMMYFUNCTION("""COMPUTED_VALUE"""),"https://ameblo.jp/agehaseira/")</f>
        <v>https://ameblo.jp/agehaseira/</v>
      </c>
      <c r="D93" s="6" t="str">
        <f>IFERROR(__xludf.DUMMYFUNCTION("""COMPUTED_VALUE"""),"△")</f>
        <v>△</v>
      </c>
      <c r="E93" s="6" t="str">
        <f>IFERROR(__xludf.DUMMYFUNCTION("""COMPUTED_VALUE"""),"アメブロ利用で情報が分散気味")</f>
        <v>アメブロ利用で情報が分散気味</v>
      </c>
      <c r="F93" s="8" t="s">
        <v>108</v>
      </c>
    </row>
    <row r="94">
      <c r="A94" s="6" t="str">
        <f t="shared" si="1"/>
        <v>0290</v>
      </c>
      <c r="B94" s="6" t="str">
        <f>IFERROR(__xludf.DUMMYFUNCTION("""COMPUTED_VALUE"""),"NEFER (ネフェル)")</f>
        <v>NEFER (ネフェル)</v>
      </c>
      <c r="C94" s="7" t="str">
        <f>IFERROR(__xludf.DUMMYFUNCTION("""COMPUTED_VALUE"""),"https://8nefer8.jimdofree.com/")</f>
        <v>https://8nefer8.jimdofree.com/</v>
      </c>
      <c r="D94" s="6" t="str">
        <f>IFERROR(__xludf.DUMMYFUNCTION("""COMPUTED_VALUE"""),"△")</f>
        <v>△</v>
      </c>
      <c r="E94" s="6" t="str">
        <f>IFERROR(__xludf.DUMMYFUNCTION("""COMPUTED_VALUE"""),"Jimdo利用でデザインが簡易的")</f>
        <v>Jimdo利用でデザインが簡易的</v>
      </c>
      <c r="F94" s="8" t="s">
        <v>109</v>
      </c>
    </row>
    <row r="95">
      <c r="A95" s="6" t="str">
        <f t="shared" si="1"/>
        <v>0291</v>
      </c>
      <c r="B95" s="6" t="str">
        <f>IFERROR(__xludf.DUMMYFUNCTION("""COMPUTED_VALUE"""),"はみんぐ べあ")</f>
        <v>はみんぐ べあ</v>
      </c>
      <c r="C95" s="7" t="str">
        <f>IFERROR(__xludf.DUMMYFUNCTION("""COMPUTED_VALUE"""),"https://ameblo.jp/hummingbeartenka/")</f>
        <v>https://ameblo.jp/hummingbeartenka/</v>
      </c>
      <c r="D95" s="6" t="str">
        <f>IFERROR(__xludf.DUMMYFUNCTION("""COMPUTED_VALUE"""),"△")</f>
        <v>△</v>
      </c>
      <c r="E95" s="6" t="str">
        <f>IFERROR(__xludf.DUMMYFUNCTION("""COMPUTED_VALUE"""),"アメブロ利用のスピリチュアルサロン")</f>
        <v>アメブロ利用のスピリチュアルサロン</v>
      </c>
      <c r="F95" s="8" t="s">
        <v>110</v>
      </c>
    </row>
    <row r="96">
      <c r="A96" s="6" t="str">
        <f t="shared" si="1"/>
        <v>0292</v>
      </c>
      <c r="B96" s="6" t="str">
        <f>IFERROR(__xludf.DUMMYFUNCTION("""COMPUTED_VALUE"""),"天使の遊び場")</f>
        <v>天使の遊び場</v>
      </c>
      <c r="C96" s="7" t="str">
        <f>IFERROR(__xludf.DUMMYFUNCTION("""COMPUTED_VALUE"""),"https://angel-playground.jimdosite.com/")</f>
        <v>https://angel-playground.jimdosite.com/</v>
      </c>
      <c r="D96" s="6" t="str">
        <f>IFERROR(__xludf.DUMMYFUNCTION("""COMPUTED_VALUE"""),"△")</f>
        <v>△</v>
      </c>
      <c r="E96" s="6" t="str">
        <f>IFERROR(__xludf.DUMMYFUNCTION("""COMPUTED_VALUE"""),"Jimdo利用のイベント・サロン")</f>
        <v>Jimdo利用のイベント・サロン</v>
      </c>
      <c r="F96" s="8" t="s">
        <v>111</v>
      </c>
    </row>
    <row r="97">
      <c r="A97" s="6" t="str">
        <f t="shared" si="1"/>
        <v>0293</v>
      </c>
      <c r="B97" s="6" t="str">
        <f>IFERROR(__xludf.DUMMYFUNCTION("""COMPUTED_VALUE"""),"ヒーリングルーム 癒蘭")</f>
        <v>ヒーリングルーム 癒蘭</v>
      </c>
      <c r="C97" s="7" t="str">
        <f>IFERROR(__xludf.DUMMYFUNCTION("""COMPUTED_VALUE"""),"https://yuran-healing.jimdofree.com/")</f>
        <v>https://yuran-healing.jimdofree.com/</v>
      </c>
      <c r="D97" s="6" t="str">
        <f>IFERROR(__xludf.DUMMYFUNCTION("""COMPUTED_VALUE"""),"△")</f>
        <v>△</v>
      </c>
      <c r="E97" s="6" t="str">
        <f>IFERROR(__xludf.DUMMYFUNCTION("""COMPUTED_VALUE"""),"Jimdo利用で構成はシンプル")</f>
        <v>Jimdo利用で構成はシンプル</v>
      </c>
      <c r="F97" s="8" t="s">
        <v>112</v>
      </c>
    </row>
    <row r="98">
      <c r="A98" s="6" t="str">
        <f t="shared" si="1"/>
        <v>0294</v>
      </c>
      <c r="B98" s="6" t="str">
        <f>IFERROR(__xludf.DUMMYFUNCTION("""COMPUTED_VALUE"""),"ぽかぽかプレイス")</f>
        <v>ぽかぽかプレイス</v>
      </c>
      <c r="C98" s="7" t="str">
        <f>IFERROR(__xludf.DUMMYFUNCTION("""COMPUTED_VALUE"""),"https://pokapoka-place.jimdosite.com/")</f>
        <v>https://pokapoka-place.jimdosite.com/</v>
      </c>
      <c r="D98" s="6" t="str">
        <f>IFERROR(__xludf.DUMMYFUNCTION("""COMPUTED_VALUE"""),"△")</f>
        <v>△</v>
      </c>
      <c r="E98" s="6" t="str">
        <f>IFERROR(__xludf.DUMMYFUNCTION("""COMPUTED_VALUE"""),"Jimdo利用のコミュニティサロン")</f>
        <v>Jimdo利用のコミュニティサロン</v>
      </c>
      <c r="F98" s="8" t="s">
        <v>113</v>
      </c>
    </row>
    <row r="99">
      <c r="A99" s="6" t="str">
        <f t="shared" si="1"/>
        <v>0295</v>
      </c>
      <c r="B99" s="6" t="str">
        <f>IFERROR(__xludf.DUMMYFUNCTION("""COMPUTED_VALUE"""),"feelOASIS")</f>
        <v>feelOASIS</v>
      </c>
      <c r="C99" s="7" t="str">
        <f>IFERROR(__xludf.DUMMYFUNCTION("""COMPUTED_VALUE"""),"https://feeloasis2.sakura.ne.jp/")</f>
        <v>https://feeloasis2.sakura.ne.jp/</v>
      </c>
      <c r="D99" s="6" t="str">
        <f>IFERROR(__xludf.DUMMYFUNCTION("""COMPUTED_VALUE"""),"△")</f>
        <v>△</v>
      </c>
      <c r="E99" s="6" t="str">
        <f>IFERROR(__xludf.DUMMYFUNCTION("""COMPUTED_VALUE"""),"アロマサロンでサイトは少し古め")</f>
        <v>アロマサロンでサイトは少し古め</v>
      </c>
      <c r="F99" s="8" t="s">
        <v>114</v>
      </c>
    </row>
    <row r="100">
      <c r="A100" s="6" t="str">
        <f t="shared" si="1"/>
        <v>0296</v>
      </c>
      <c r="B100" s="6" t="str">
        <f>IFERROR(__xludf.DUMMYFUNCTION("""COMPUTED_VALUE"""),"占い×レイキ BiBi")</f>
        <v>占い×レイキ BiBi</v>
      </c>
      <c r="C100" s="7" t="str">
        <f>IFERROR(__xludf.DUMMYFUNCTION("""COMPUTED_VALUE"""),"https://bibifortunetelling.stores.jp/")</f>
        <v>https://bibifortunetelling.stores.jp/</v>
      </c>
      <c r="D100" s="6" t="str">
        <f>IFERROR(__xludf.DUMMYFUNCTION("""COMPUTED_VALUE"""),"△")</f>
        <v>△</v>
      </c>
      <c r="E100" s="6" t="str">
        <f>IFERROR(__xludf.DUMMYFUNCTION("""COMPUTED_VALUE"""),"STORES利用でECサイト風")</f>
        <v>STORES利用でECサイト風</v>
      </c>
      <c r="F100" s="8" t="s">
        <v>115</v>
      </c>
    </row>
    <row r="101">
      <c r="A101" s="6" t="str">
        <f t="shared" si="1"/>
        <v>0297</v>
      </c>
      <c r="B101" s="1" t="s">
        <v>116</v>
      </c>
      <c r="F101" s="8" t="s">
        <v>117</v>
      </c>
    </row>
    <row r="102">
      <c r="A102" s="6" t="str">
        <f t="shared" si="1"/>
        <v>0298</v>
      </c>
      <c r="B102" s="6" t="str">
        <f>IFERROR(__xludf.DUMMYFUNCTION("QUERY('練馬区'!A:D, ""select * where C='△'"", 1)"),"店舗名")</f>
        <v>店舗名</v>
      </c>
      <c r="C102" s="6" t="str">
        <f>IFERROR(__xludf.DUMMYFUNCTION("""COMPUTED_VALUE"""),"公式サイトURL")</f>
        <v>公式サイトURL</v>
      </c>
      <c r="D102" s="6" t="str">
        <f>IFERROR(__xludf.DUMMYFUNCTION("""COMPUTED_VALUE"""),"")</f>
        <v/>
      </c>
      <c r="E102" s="6" t="str">
        <f>IFERROR(__xludf.DUMMYFUNCTION("""COMPUTED_VALUE"""),"Instagram URL")</f>
        <v>Instagram URL</v>
      </c>
      <c r="F102" s="8" t="s">
        <v>118</v>
      </c>
    </row>
    <row r="103">
      <c r="A103" s="6" t="str">
        <f t="shared" si="1"/>
        <v>0299</v>
      </c>
      <c r="B103" s="6" t="str">
        <f>IFERROR(__xludf.DUMMYFUNCTION("""COMPUTED_VALUE"""),"ヒーリング整体 KIMON")</f>
        <v>ヒーリング整体 KIMON</v>
      </c>
      <c r="C103" s="7" t="str">
        <f>IFERROR(__xludf.DUMMYFUNCTION("""COMPUTED_VALUE"""),"https://healing-kimon.com/")</f>
        <v>https://healing-kimon.com/</v>
      </c>
      <c r="D103" s="6" t="str">
        <f>IFERROR(__xludf.DUMMYFUNCTION("""COMPUTED_VALUE"""),"△")</f>
        <v>△</v>
      </c>
      <c r="E103" s="6" t="str">
        <f>IFERROR(__xludf.DUMMYFUNCTION("""COMPUTED_VALUE"""),"なし")</f>
        <v>なし</v>
      </c>
      <c r="F103" s="8" t="s">
        <v>119</v>
      </c>
    </row>
    <row r="104">
      <c r="A104" s="6" t="str">
        <f t="shared" si="1"/>
        <v>0300</v>
      </c>
      <c r="B104" s="6" t="str">
        <f>IFERROR(__xludf.DUMMYFUNCTION("""COMPUTED_VALUE"""),"ラ・ファーメ")</f>
        <v>ラ・ファーメ</v>
      </c>
      <c r="C104" s="7" t="str">
        <f>IFERROR(__xludf.DUMMYFUNCTION("""COMPUTED_VALUE"""),"https://r.goope.jp/lafemme/")</f>
        <v>https://r.goope.jp/lafemme/</v>
      </c>
      <c r="D104" s="6" t="str">
        <f>IFERROR(__xludf.DUMMYFUNCTION("""COMPUTED_VALUE"""),"△")</f>
        <v>△</v>
      </c>
      <c r="E104" s="6" t="str">
        <f>IFERROR(__xludf.DUMMYFUNCTION("""COMPUTED_VALUE"""),"なし")</f>
        <v>なし</v>
      </c>
      <c r="F104" s="8" t="s">
        <v>120</v>
      </c>
    </row>
    <row r="105">
      <c r="A105" s="6" t="str">
        <f t="shared" si="1"/>
        <v>0301</v>
      </c>
      <c r="B105" s="6" t="str">
        <f>IFERROR(__xludf.DUMMYFUNCTION("""COMPUTED_VALUE"""),"藤巻治療所")</f>
        <v>藤巻治療所</v>
      </c>
      <c r="C105" s="7" t="str">
        <f>IFERROR(__xludf.DUMMYFUNCTION("""COMPUTED_VALUE"""),"https://www.fujimakichiryoujyo.net/reiki/")</f>
        <v>https://www.fujimakichiryoujyo.net/reiki/</v>
      </c>
      <c r="D105" s="6" t="str">
        <f>IFERROR(__xludf.DUMMYFUNCTION("""COMPUTED_VALUE"""),"△")</f>
        <v>△</v>
      </c>
      <c r="E105" s="6" t="str">
        <f>IFERROR(__xludf.DUMMYFUNCTION("""COMPUTED_VALUE"""),"なし")</f>
        <v>なし</v>
      </c>
      <c r="F105" s="8" t="s">
        <v>121</v>
      </c>
    </row>
    <row r="106">
      <c r="A106" s="6" t="str">
        <f t="shared" si="1"/>
        <v>0302</v>
      </c>
      <c r="B106" s="6" t="str">
        <f>IFERROR(__xludf.DUMMYFUNCTION("""COMPUTED_VALUE"""),"天龍館")</f>
        <v>天龍館</v>
      </c>
      <c r="C106" s="7" t="str">
        <f>IFERROR(__xludf.DUMMYFUNCTION("""COMPUTED_VALUE"""),"https://tenryukan.com/")</f>
        <v>https://tenryukan.com/</v>
      </c>
      <c r="D106" s="6" t="str">
        <f>IFERROR(__xludf.DUMMYFUNCTION("""COMPUTED_VALUE"""),"△")</f>
        <v>△</v>
      </c>
      <c r="E106" s="6" t="str">
        <f>IFERROR(__xludf.DUMMYFUNCTION("""COMPUTED_VALUE"""),"伝統的な占いでサイトは少し古め")</f>
        <v>伝統的な占いでサイトは少し古め</v>
      </c>
      <c r="F106" s="8" t="s">
        <v>122</v>
      </c>
    </row>
    <row r="107">
      <c r="A107" s="6" t="str">
        <f t="shared" si="1"/>
        <v>0303</v>
      </c>
      <c r="B107" s="6" t="str">
        <f>IFERROR(__xludf.DUMMYFUNCTION("""COMPUTED_VALUE"""),"ヒーリングサロン 癒しの森")</f>
        <v>ヒーリングサロン 癒しの森</v>
      </c>
      <c r="C107" s="7" t="str">
        <f>IFERROR(__xludf.DUMMYFUNCTION("""COMPUTED_VALUE"""),"https://iyashinomori-ogikubo.com/")</f>
        <v>https://iyashinomori-ogikubo.com/</v>
      </c>
      <c r="D107" s="6" t="str">
        <f>IFERROR(__xludf.DUMMYFUNCTION("""COMPUTED_VALUE"""),"△")</f>
        <v>△</v>
      </c>
      <c r="E107" s="6" t="str">
        <f>IFERROR(__xludf.DUMMYFUNCTION("""COMPUTED_VALUE"""),"サイトは簡易的")</f>
        <v>サイトは簡易的</v>
      </c>
      <c r="F107" s="8" t="s">
        <v>123</v>
      </c>
    </row>
    <row r="108">
      <c r="A108" s="6" t="str">
        <f t="shared" si="1"/>
        <v>0304</v>
      </c>
      <c r="B108" s="6" t="str">
        <f>IFERROR(__xludf.DUMMYFUNCTION("""COMPUTED_VALUE"""),"feelOASIS")</f>
        <v>feelOASIS</v>
      </c>
      <c r="C108" s="7" t="str">
        <f>IFERROR(__xludf.DUMMYFUNCTION("""COMPUTED_VALUE"""),"https://feeloasis2.sakura.ne.jp/")</f>
        <v>https://feeloasis2.sakura.ne.jp/</v>
      </c>
      <c r="D108" s="6" t="str">
        <f>IFERROR(__xludf.DUMMYFUNCTION("""COMPUTED_VALUE"""),"△")</f>
        <v>△</v>
      </c>
      <c r="E108" s="6" t="str">
        <f>IFERROR(__xludf.DUMMYFUNCTION("""COMPUTED_VALUE"""),"アロマサロンでサイトは少し古め")</f>
        <v>アロマサロンでサイトは少し古め</v>
      </c>
      <c r="F108" s="8" t="s">
        <v>124</v>
      </c>
    </row>
    <row r="109">
      <c r="A109" s="6" t="str">
        <f t="shared" si="1"/>
        <v>0305</v>
      </c>
      <c r="B109" s="6" t="str">
        <f>IFERROR(__xludf.DUMMYFUNCTION("""COMPUTED_VALUE"""),"占い×レイキ BiBi")</f>
        <v>占い×レイキ BiBi</v>
      </c>
      <c r="C109" s="7" t="str">
        <f>IFERROR(__xludf.DUMMYFUNCTION("""COMPUTED_VALUE"""),"https://bibifortunetelling.stores.jp/")</f>
        <v>https://bibifortunetelling.stores.jp/</v>
      </c>
      <c r="D109" s="6" t="str">
        <f>IFERROR(__xludf.DUMMYFUNCTION("""COMPUTED_VALUE"""),"△")</f>
        <v>△</v>
      </c>
      <c r="E109" s="6" t="str">
        <f>IFERROR(__xludf.DUMMYFUNCTION("""COMPUTED_VALUE"""),"STORES利用でECサイト風")</f>
        <v>STORES利用でECサイト風</v>
      </c>
      <c r="F109" s="8" t="s">
        <v>125</v>
      </c>
    </row>
    <row r="110">
      <c r="A110" s="6" t="str">
        <f t="shared" si="1"/>
        <v>0306</v>
      </c>
      <c r="B110" s="6" t="str">
        <f>IFERROR(__xludf.DUMMYFUNCTION("""COMPUTED_VALUE"""),"スピリチュアル・カウンセリング by izumi")</f>
        <v>スピリチュアル・カウンセリング by izumi</v>
      </c>
      <c r="C110" s="7" t="str">
        <f>IFERROR(__xludf.DUMMYFUNCTION("""COMPUTED_VALUE"""),"http://luri.moon.bindcloud.jp/")</f>
        <v>http://luri.moon.bindcloud.jp/</v>
      </c>
      <c r="D110" s="6" t="str">
        <f>IFERROR(__xludf.DUMMYFUNCTION("""COMPUTED_VALUE"""),"△")</f>
        <v>△</v>
      </c>
      <c r="E110" s="6" t="str">
        <f>IFERROR(__xludf.DUMMYFUNCTION("""COMPUTED_VALUE"""),"Bindcloud利用でデザインが簡易的")</f>
        <v>Bindcloud利用でデザインが簡易的</v>
      </c>
      <c r="F110" s="8" t="s">
        <v>126</v>
      </c>
    </row>
    <row r="111">
      <c r="A111" s="6" t="str">
        <f t="shared" si="1"/>
        <v>0307</v>
      </c>
      <c r="B111" s="6" t="str">
        <f>IFERROR(__xludf.DUMMYFUNCTION("""COMPUTED_VALUE"""),"天龍館")</f>
        <v>天龍館</v>
      </c>
      <c r="C111" s="7" t="str">
        <f>IFERROR(__xludf.DUMMYFUNCTION("""COMPUTED_VALUE"""),"https://tenryukan.com/")</f>
        <v>https://tenryukan.com/</v>
      </c>
      <c r="D111" s="6" t="str">
        <f>IFERROR(__xludf.DUMMYFUNCTION("""COMPUTED_VALUE"""),"△")</f>
        <v>△</v>
      </c>
      <c r="E111" s="6" t="str">
        <f>IFERROR(__xludf.DUMMYFUNCTION("""COMPUTED_VALUE"""),"伝統的な占いでサイトは少し古め")</f>
        <v>伝統的な占いでサイトは少し古め</v>
      </c>
      <c r="F111" s="8" t="s">
        <v>127</v>
      </c>
    </row>
    <row r="112">
      <c r="A112" s="6" t="str">
        <f t="shared" si="1"/>
        <v>0308</v>
      </c>
      <c r="B112" s="6" t="str">
        <f>IFERROR(__xludf.DUMMYFUNCTION("""COMPUTED_VALUE"""),"ヒーリングサロン 癒しの森")</f>
        <v>ヒーリングサロン 癒しの森</v>
      </c>
      <c r="C112" s="7" t="str">
        <f>IFERROR(__xludf.DUMMYFUNCTION("""COMPUTED_VALUE"""),"https://iyashinomori-ogikubo.com/")</f>
        <v>https://iyashinomori-ogikubo.com/</v>
      </c>
      <c r="D112" s="6" t="str">
        <f>IFERROR(__xludf.DUMMYFUNCTION("""COMPUTED_VALUE"""),"△")</f>
        <v>△</v>
      </c>
      <c r="E112" s="6" t="str">
        <f>IFERROR(__xludf.DUMMYFUNCTION("""COMPUTED_VALUE"""),"サイトは簡易的")</f>
        <v>サイトは簡易的</v>
      </c>
      <c r="F112" s="8" t="s">
        <v>128</v>
      </c>
    </row>
    <row r="113">
      <c r="A113" s="6" t="str">
        <f t="shared" si="1"/>
        <v>0309</v>
      </c>
      <c r="B113" s="1" t="s">
        <v>129</v>
      </c>
      <c r="F113" s="8" t="s">
        <v>130</v>
      </c>
    </row>
    <row r="114">
      <c r="A114" s="6" t="str">
        <f t="shared" si="1"/>
        <v>0310</v>
      </c>
      <c r="B114" s="6" t="str">
        <f>IFERROR(__xludf.DUMMYFUNCTION("QUERY('足立区'!A:D, ""select * where C='△'"", 1)"),"占い専科 青い月 北千住店")</f>
        <v>占い専科 青い月 北千住店</v>
      </c>
      <c r="C114" s="7" t="str">
        <f>IFERROR(__xludf.DUMMYFUNCTION("""COMPUTED_VALUE"""),"https://aoitsuki.jp/")</f>
        <v>https://aoitsuki.jp/</v>
      </c>
      <c r="D114" s="6" t="str">
        <f>IFERROR(__xludf.DUMMYFUNCTION("""COMPUTED_VALUE"""),"○")</f>
        <v>○</v>
      </c>
      <c r="E114" s="6" t="str">
        <f>IFERROR(__xludf.DUMMYFUNCTION("""COMPUTED_VALUE"""),"北千住駅近くで構成が整っている")</f>
        <v>北千住駅近くで構成が整っている</v>
      </c>
      <c r="F114" s="8" t="s">
        <v>131</v>
      </c>
    </row>
    <row r="115">
      <c r="A115" s="6" t="str">
        <f t="shared" si="1"/>
        <v>0311</v>
      </c>
      <c r="B115" s="6" t="str">
        <f>IFERROR(__xludf.DUMMYFUNCTION("""COMPUTED_VALUE"""),"天龍館")</f>
        <v>天龍館</v>
      </c>
      <c r="C115" s="7" t="str">
        <f>IFERROR(__xludf.DUMMYFUNCTION("""COMPUTED_VALUE"""),"https://tenryukan.com/")</f>
        <v>https://tenryukan.com/</v>
      </c>
      <c r="D115" s="6" t="str">
        <f>IFERROR(__xludf.DUMMYFUNCTION("""COMPUTED_VALUE"""),"△")</f>
        <v>△</v>
      </c>
      <c r="E115" s="6" t="str">
        <f>IFERROR(__xludf.DUMMYFUNCTION("""COMPUTED_VALUE"""),"伝統的な占いでサイトは少し古め")</f>
        <v>伝統的な占いでサイトは少し古め</v>
      </c>
      <c r="F115" s="8" t="s">
        <v>132</v>
      </c>
    </row>
    <row r="116">
      <c r="A116" s="6" t="str">
        <f t="shared" si="1"/>
        <v>0312</v>
      </c>
      <c r="B116" s="6" t="str">
        <f>IFERROR(__xludf.DUMMYFUNCTION("""COMPUTED_VALUE"""),"ヒーリングサロン 癒しの森")</f>
        <v>ヒーリングサロン 癒しの森</v>
      </c>
      <c r="C116" s="7" t="str">
        <f>IFERROR(__xludf.DUMMYFUNCTION("""COMPUTED_VALUE"""),"https://iyashinomori-ogikubo.com/")</f>
        <v>https://iyashinomori-ogikubo.com/</v>
      </c>
      <c r="D116" s="6" t="str">
        <f>IFERROR(__xludf.DUMMYFUNCTION("""COMPUTED_VALUE"""),"△")</f>
        <v>△</v>
      </c>
      <c r="E116" s="6" t="str">
        <f>IFERROR(__xludf.DUMMYFUNCTION("""COMPUTED_VALUE"""),"サイトは簡易的")</f>
        <v>サイトは簡易的</v>
      </c>
      <c r="F116" s="8" t="s">
        <v>133</v>
      </c>
    </row>
    <row r="117">
      <c r="A117" s="6" t="str">
        <f t="shared" si="1"/>
        <v>0313</v>
      </c>
      <c r="B117" s="6" t="str">
        <f>IFERROR(__xludf.DUMMYFUNCTION("""COMPUTED_VALUE"""),"feelOASIS")</f>
        <v>feelOASIS</v>
      </c>
      <c r="C117" s="7" t="str">
        <f>IFERROR(__xludf.DUMMYFUNCTION("""COMPUTED_VALUE"""),"https://feeloasis2.sakura.ne.jp/")</f>
        <v>https://feeloasis2.sakura.ne.jp/</v>
      </c>
      <c r="D117" s="6" t="str">
        <f>IFERROR(__xludf.DUMMYFUNCTION("""COMPUTED_VALUE"""),"△")</f>
        <v>△</v>
      </c>
      <c r="E117" s="6" t="str">
        <f>IFERROR(__xludf.DUMMYFUNCTION("""COMPUTED_VALUE"""),"アロマサロンでサイトは少し古め")</f>
        <v>アロマサロンでサイトは少し古め</v>
      </c>
      <c r="F117" s="8" t="s">
        <v>134</v>
      </c>
    </row>
    <row r="118">
      <c r="A118" s="6" t="str">
        <f t="shared" si="1"/>
        <v>0314</v>
      </c>
      <c r="B118" s="6" t="str">
        <f>IFERROR(__xludf.DUMMYFUNCTION("""COMPUTED_VALUE"""),"占い×レイキ BiBi")</f>
        <v>占い×レイキ BiBi</v>
      </c>
      <c r="C118" s="7" t="str">
        <f>IFERROR(__xludf.DUMMYFUNCTION("""COMPUTED_VALUE"""),"https://bibifortunetelling.stores.jp/")</f>
        <v>https://bibifortunetelling.stores.jp/</v>
      </c>
      <c r="D118" s="6" t="str">
        <f>IFERROR(__xludf.DUMMYFUNCTION("""COMPUTED_VALUE"""),"△")</f>
        <v>△</v>
      </c>
      <c r="E118" s="6" t="str">
        <f>IFERROR(__xludf.DUMMYFUNCTION("""COMPUTED_VALUE"""),"STORES利用でECサイト風")</f>
        <v>STORES利用でECサイト風</v>
      </c>
      <c r="F118" s="8" t="s">
        <v>135</v>
      </c>
    </row>
    <row r="119">
      <c r="A119" s="6" t="str">
        <f t="shared" si="1"/>
        <v>0315</v>
      </c>
      <c r="B119" s="6" t="str">
        <f>IFERROR(__xludf.DUMMYFUNCTION("""COMPUTED_VALUE"""),"Sehinoa")</f>
        <v>Sehinoa</v>
      </c>
      <c r="C119" s="7" t="str">
        <f>IFERROR(__xludf.DUMMYFUNCTION("""COMPUTED_VALUE"""),"https://select-type.com/s/sehinoa")</f>
        <v>https://select-type.com/s/sehinoa</v>
      </c>
      <c r="D119" s="6" t="str">
        <f>IFERROR(__xludf.DUMMYFUNCTION("""COMPUTED_VALUE"""),"△")</f>
        <v>△</v>
      </c>
      <c r="E119" s="6" t="str">
        <f>IFERROR(__xludf.DUMMYFUNCTION("""COMPUTED_VALUE"""),"予約システム標準で独自性が薄い")</f>
        <v>予約システム標準で独自性が薄い</v>
      </c>
      <c r="F119" s="8" t="s">
        <v>136</v>
      </c>
    </row>
    <row r="120">
      <c r="A120" s="6" t="str">
        <f t="shared" si="1"/>
        <v>0316</v>
      </c>
      <c r="B120" s="6" t="str">
        <f>IFERROR(__xludf.DUMMYFUNCTION("""COMPUTED_VALUE"""),"feelOASIS")</f>
        <v>feelOASIS</v>
      </c>
      <c r="C120" s="7" t="str">
        <f>IFERROR(__xludf.DUMMYFUNCTION("""COMPUTED_VALUE"""),"https://feeloasis2.sakura.ne.jp/")</f>
        <v>https://feeloasis2.sakura.ne.jp/</v>
      </c>
      <c r="D120" s="6" t="str">
        <f>IFERROR(__xludf.DUMMYFUNCTION("""COMPUTED_VALUE"""),"△")</f>
        <v>△</v>
      </c>
      <c r="E120" s="6" t="str">
        <f>IFERROR(__xludf.DUMMYFUNCTION("""COMPUTED_VALUE"""),"アロマサロンでサイトは少し古め")</f>
        <v>アロマサロンでサイトは少し古め</v>
      </c>
      <c r="F120" s="8" t="s">
        <v>137</v>
      </c>
    </row>
    <row r="121">
      <c r="A121" s="6" t="str">
        <f t="shared" si="1"/>
        <v>0317</v>
      </c>
      <c r="B121" s="6" t="str">
        <f>IFERROR(__xludf.DUMMYFUNCTION("""COMPUTED_VALUE"""),"占い×レイキ BiBi")</f>
        <v>占い×レイキ BiBi</v>
      </c>
      <c r="C121" s="7" t="str">
        <f>IFERROR(__xludf.DUMMYFUNCTION("""COMPUTED_VALUE"""),"https://bibifortunetelling.stores.jp/")</f>
        <v>https://bibifortunetelling.stores.jp/</v>
      </c>
      <c r="D121" s="6" t="str">
        <f>IFERROR(__xludf.DUMMYFUNCTION("""COMPUTED_VALUE"""),"△")</f>
        <v>△</v>
      </c>
      <c r="E121" s="6" t="str">
        <f>IFERROR(__xludf.DUMMYFUNCTION("""COMPUTED_VALUE"""),"STORES利用でECサイト風")</f>
        <v>STORES利用でECサイト風</v>
      </c>
      <c r="F121" s="8" t="s">
        <v>138</v>
      </c>
    </row>
    <row r="122">
      <c r="A122" s="6" t="str">
        <f t="shared" si="1"/>
        <v>0318</v>
      </c>
      <c r="B122" s="6" t="str">
        <f>IFERROR(__xludf.DUMMYFUNCTION("""COMPUTED_VALUE"""),"Sehinoa")</f>
        <v>Sehinoa</v>
      </c>
      <c r="C122" s="7" t="str">
        <f>IFERROR(__xludf.DUMMYFUNCTION("""COMPUTED_VALUE"""),"https://select-type.com/s/sehinoa")</f>
        <v>https://select-type.com/s/sehinoa</v>
      </c>
      <c r="D122" s="6" t="str">
        <f>IFERROR(__xludf.DUMMYFUNCTION("""COMPUTED_VALUE"""),"△")</f>
        <v>△</v>
      </c>
      <c r="E122" s="6" t="str">
        <f>IFERROR(__xludf.DUMMYFUNCTION("""COMPUTED_VALUE"""),"予約システム標準で独自性が薄い")</f>
        <v>予約システム標準で独自性が薄い</v>
      </c>
      <c r="F122" s="8" t="s">
        <v>139</v>
      </c>
    </row>
    <row r="123">
      <c r="A123" s="6" t="str">
        <f t="shared" si="1"/>
        <v>0319</v>
      </c>
      <c r="B123" s="1" t="s">
        <v>140</v>
      </c>
      <c r="F123" s="8" t="s">
        <v>141</v>
      </c>
    </row>
    <row r="124">
      <c r="A124" s="6" t="str">
        <f t="shared" si="1"/>
        <v>0320</v>
      </c>
      <c r="B124" s="6" t="str">
        <f>IFERROR(__xludf.DUMMYFUNCTION("QUERY('葛飾区'!A:D, ""select * where C='△'"", 1)"),"占い専科 青い月 新小岩店")</f>
        <v>占い専科 青い月 新小岩店</v>
      </c>
      <c r="C124" s="7" t="str">
        <f>IFERROR(__xludf.DUMMYFUNCTION("""COMPUTED_VALUE"""),"https://aoitsuki.jp/")</f>
        <v>https://aoitsuki.jp/</v>
      </c>
      <c r="D124" s="6" t="str">
        <f>IFERROR(__xludf.DUMMYFUNCTION("""COMPUTED_VALUE"""),"○")</f>
        <v>○</v>
      </c>
      <c r="E124" s="6" t="str">
        <f>IFERROR(__xludf.DUMMYFUNCTION("""COMPUTED_VALUE"""),"新小岩駅近くで構成が整っている")</f>
        <v>新小岩駅近くで構成が整っている</v>
      </c>
      <c r="F124" s="8" t="s">
        <v>142</v>
      </c>
    </row>
    <row r="125">
      <c r="A125" s="6" t="str">
        <f t="shared" si="1"/>
        <v>0321</v>
      </c>
      <c r="B125" s="6" t="str">
        <f>IFERROR(__xludf.DUMMYFUNCTION("""COMPUTED_VALUE"""),"新小岩 占い 蓮華")</f>
        <v>新小岩 占い 蓮華</v>
      </c>
      <c r="C125" s="7" t="str">
        <f>IFERROR(__xludf.DUMMYFUNCTION("""COMPUTED_VALUE"""),"https://renge-uranai.com/")</f>
        <v>https://renge-uranai.com/</v>
      </c>
      <c r="D125" s="6" t="str">
        <f>IFERROR(__xludf.DUMMYFUNCTION("""COMPUTED_VALUE"""),"△")</f>
        <v>△</v>
      </c>
      <c r="E125" s="6" t="str">
        <f>IFERROR(__xludf.DUMMYFUNCTION("""COMPUTED_VALUE"""),"情報はあるがデザインが古い")</f>
        <v>情報はあるがデザインが古い</v>
      </c>
      <c r="F125" s="8" t="s">
        <v>143</v>
      </c>
    </row>
    <row r="126">
      <c r="A126" s="6" t="str">
        <f t="shared" si="1"/>
        <v>0322</v>
      </c>
      <c r="B126" s="6" t="str">
        <f>IFERROR(__xludf.DUMMYFUNCTION("""COMPUTED_VALUE"""),"天龍館")</f>
        <v>天龍館</v>
      </c>
      <c r="C126" s="7" t="str">
        <f>IFERROR(__xludf.DUMMYFUNCTION("""COMPUTED_VALUE"""),"https://tenryukan.com/")</f>
        <v>https://tenryukan.com/</v>
      </c>
      <c r="D126" s="6" t="str">
        <f>IFERROR(__xludf.DUMMYFUNCTION("""COMPUTED_VALUE"""),"△")</f>
        <v>△</v>
      </c>
      <c r="E126" s="6" t="str">
        <f>IFERROR(__xludf.DUMMYFUNCTION("""COMPUTED_VALUE"""),"伝統的な占いでサイトは少し古め")</f>
        <v>伝統的な占いでサイトは少し古め</v>
      </c>
      <c r="F126" s="8" t="s">
        <v>144</v>
      </c>
    </row>
    <row r="127">
      <c r="A127" s="6" t="str">
        <f t="shared" si="1"/>
        <v>0323</v>
      </c>
      <c r="B127" s="6" t="str">
        <f>IFERROR(__xludf.DUMMYFUNCTION("""COMPUTED_VALUE"""),"ヒーリングサロン 癒しの森")</f>
        <v>ヒーリングサロン 癒しの森</v>
      </c>
      <c r="C127" s="7" t="str">
        <f>IFERROR(__xludf.DUMMYFUNCTION("""COMPUTED_VALUE"""),"https://iyashinomori-ogikubo.com/")</f>
        <v>https://iyashinomori-ogikubo.com/</v>
      </c>
      <c r="D127" s="6" t="str">
        <f>IFERROR(__xludf.DUMMYFUNCTION("""COMPUTED_VALUE"""),"△")</f>
        <v>△</v>
      </c>
      <c r="E127" s="6" t="str">
        <f>IFERROR(__xludf.DUMMYFUNCTION("""COMPUTED_VALUE"""),"サイトは簡易的")</f>
        <v>サイトは簡易的</v>
      </c>
      <c r="F127" s="8" t="s">
        <v>145</v>
      </c>
    </row>
    <row r="128">
      <c r="A128" s="6" t="str">
        <f t="shared" si="1"/>
        <v>0324</v>
      </c>
      <c r="B128" s="6" t="str">
        <f>IFERROR(__xludf.DUMMYFUNCTION("""COMPUTED_VALUE"""),"feelOASIS")</f>
        <v>feelOASIS</v>
      </c>
      <c r="C128" s="7" t="str">
        <f>IFERROR(__xludf.DUMMYFUNCTION("""COMPUTED_VALUE"""),"https://feeloasis2.sakura.ne.jp/")</f>
        <v>https://feeloasis2.sakura.ne.jp/</v>
      </c>
      <c r="D128" s="6" t="str">
        <f>IFERROR(__xludf.DUMMYFUNCTION("""COMPUTED_VALUE"""),"△")</f>
        <v>△</v>
      </c>
      <c r="E128" s="6" t="str">
        <f>IFERROR(__xludf.DUMMYFUNCTION("""COMPUTED_VALUE"""),"アロマサロンでサイトは少し古め")</f>
        <v>アロマサロンでサイトは少し古め</v>
      </c>
      <c r="F128" s="8" t="s">
        <v>146</v>
      </c>
    </row>
    <row r="129">
      <c r="A129" s="6" t="str">
        <f t="shared" si="1"/>
        <v>0325</v>
      </c>
      <c r="B129" s="6" t="str">
        <f>IFERROR(__xludf.DUMMYFUNCTION("""COMPUTED_VALUE"""),"占い×レイキ BiBi")</f>
        <v>占い×レイキ BiBi</v>
      </c>
      <c r="C129" s="7" t="str">
        <f>IFERROR(__xludf.DUMMYFUNCTION("""COMPUTED_VALUE"""),"https://bibifortunetelling.stores.jp/")</f>
        <v>https://bibifortunetelling.stores.jp/</v>
      </c>
      <c r="D129" s="6" t="str">
        <f>IFERROR(__xludf.DUMMYFUNCTION("""COMPUTED_VALUE"""),"△")</f>
        <v>△</v>
      </c>
      <c r="E129" s="6" t="str">
        <f>IFERROR(__xludf.DUMMYFUNCTION("""COMPUTED_VALUE"""),"STORES利用でECサイト風")</f>
        <v>STORES利用でECサイト風</v>
      </c>
      <c r="F129" s="8" t="s">
        <v>147</v>
      </c>
    </row>
    <row r="130">
      <c r="A130" s="6" t="str">
        <f t="shared" si="1"/>
        <v>0326</v>
      </c>
      <c r="B130" s="6" t="str">
        <f>IFERROR(__xludf.DUMMYFUNCTION("""COMPUTED_VALUE"""),"Sehinoa")</f>
        <v>Sehinoa</v>
      </c>
      <c r="C130" s="7" t="str">
        <f>IFERROR(__xludf.DUMMYFUNCTION("""COMPUTED_VALUE"""),"https://select-type.com/s/sehinoa")</f>
        <v>https://select-type.com/s/sehinoa</v>
      </c>
      <c r="D130" s="6" t="str">
        <f>IFERROR(__xludf.DUMMYFUNCTION("""COMPUTED_VALUE"""),"△")</f>
        <v>△</v>
      </c>
      <c r="E130" s="6" t="str">
        <f>IFERROR(__xludf.DUMMYFUNCTION("""COMPUTED_VALUE"""),"予約システム標準で独自性が薄い")</f>
        <v>予約システム標準で独自性が薄い</v>
      </c>
      <c r="F130" s="8" t="s">
        <v>148</v>
      </c>
    </row>
    <row r="131">
      <c r="A131" s="6" t="str">
        <f t="shared" si="1"/>
        <v>0327</v>
      </c>
      <c r="B131" s="6" t="str">
        <f>IFERROR(__xludf.DUMMYFUNCTION("""COMPUTED_VALUE"""),"新小岩 占い 蓮華")</f>
        <v>新小岩 占い 蓮華</v>
      </c>
      <c r="C131" s="7" t="str">
        <f>IFERROR(__xludf.DUMMYFUNCTION("""COMPUTED_VALUE"""),"https://renge-uranai.com/")</f>
        <v>https://renge-uranai.com/</v>
      </c>
      <c r="D131" s="6" t="str">
        <f>IFERROR(__xludf.DUMMYFUNCTION("""COMPUTED_VALUE"""),"△")</f>
        <v>△</v>
      </c>
      <c r="E131" s="6" t="str">
        <f>IFERROR(__xludf.DUMMYFUNCTION("""COMPUTED_VALUE"""),"情報はあるがデザインが古い")</f>
        <v>情報はあるがデザインが古い</v>
      </c>
      <c r="F131" s="8" t="s">
        <v>149</v>
      </c>
    </row>
    <row r="132">
      <c r="A132" s="6" t="str">
        <f t="shared" si="1"/>
        <v>0328</v>
      </c>
      <c r="B132" s="6" t="str">
        <f>IFERROR(__xludf.DUMMYFUNCTION("""COMPUTED_VALUE"""),"天龍館")</f>
        <v>天龍館</v>
      </c>
      <c r="C132" s="7" t="str">
        <f>IFERROR(__xludf.DUMMYFUNCTION("""COMPUTED_VALUE"""),"https://tenryukan.com/")</f>
        <v>https://tenryukan.com/</v>
      </c>
      <c r="D132" s="6" t="str">
        <f>IFERROR(__xludf.DUMMYFUNCTION("""COMPUTED_VALUE"""),"△")</f>
        <v>△</v>
      </c>
      <c r="E132" s="6" t="str">
        <f>IFERROR(__xludf.DUMMYFUNCTION("""COMPUTED_VALUE"""),"伝統的な占いでサイトは少し古め")</f>
        <v>伝統的な占いでサイトは少し古め</v>
      </c>
      <c r="F132" s="8" t="s">
        <v>150</v>
      </c>
    </row>
    <row r="133">
      <c r="A133" s="6" t="str">
        <f t="shared" si="1"/>
        <v>0329</v>
      </c>
      <c r="B133" s="6" t="str">
        <f>IFERROR(__xludf.DUMMYFUNCTION("""COMPUTED_VALUE"""),"ヒーリングサロン 癒しの森")</f>
        <v>ヒーリングサロン 癒しの森</v>
      </c>
      <c r="C133" s="7" t="str">
        <f>IFERROR(__xludf.DUMMYFUNCTION("""COMPUTED_VALUE"""),"https://iyashinomori-ogikubo.com/")</f>
        <v>https://iyashinomori-ogikubo.com/</v>
      </c>
      <c r="D133" s="6" t="str">
        <f>IFERROR(__xludf.DUMMYFUNCTION("""COMPUTED_VALUE"""),"△")</f>
        <v>△</v>
      </c>
      <c r="E133" s="6" t="str">
        <f>IFERROR(__xludf.DUMMYFUNCTION("""COMPUTED_VALUE"""),"サイトは簡易的")</f>
        <v>サイトは簡易的</v>
      </c>
      <c r="F133" s="8" t="s">
        <v>151</v>
      </c>
    </row>
    <row r="134">
      <c r="A134" s="6" t="str">
        <f t="shared" si="1"/>
        <v>0330</v>
      </c>
      <c r="B134" s="6" t="str">
        <f>IFERROR(__xludf.DUMMYFUNCTION("""COMPUTED_VALUE"""),"feelOASIS")</f>
        <v>feelOASIS</v>
      </c>
      <c r="C134" s="7" t="str">
        <f>IFERROR(__xludf.DUMMYFUNCTION("""COMPUTED_VALUE"""),"https://feeloasis2.sakura.ne.jp/")</f>
        <v>https://feeloasis2.sakura.ne.jp/</v>
      </c>
      <c r="D134" s="6" t="str">
        <f>IFERROR(__xludf.DUMMYFUNCTION("""COMPUTED_VALUE"""),"△")</f>
        <v>△</v>
      </c>
      <c r="E134" s="6" t="str">
        <f>IFERROR(__xludf.DUMMYFUNCTION("""COMPUTED_VALUE"""),"アロマサロンでサイトは少し古め")</f>
        <v>アロマサロンでサイトは少し古め</v>
      </c>
      <c r="F134" s="8" t="s">
        <v>152</v>
      </c>
    </row>
    <row r="135">
      <c r="A135" s="6" t="str">
        <f t="shared" si="1"/>
        <v>0331</v>
      </c>
      <c r="B135" s="6" t="str">
        <f>IFERROR(__xludf.DUMMYFUNCTION("""COMPUTED_VALUE"""),"占い×レイキ BiBi")</f>
        <v>占い×レイキ BiBi</v>
      </c>
      <c r="C135" s="7" t="str">
        <f>IFERROR(__xludf.DUMMYFUNCTION("""COMPUTED_VALUE"""),"https://bibifortunetelling.stores.jp/")</f>
        <v>https://bibifortunetelling.stores.jp/</v>
      </c>
      <c r="D135" s="6" t="str">
        <f>IFERROR(__xludf.DUMMYFUNCTION("""COMPUTED_VALUE"""),"△")</f>
        <v>△</v>
      </c>
      <c r="E135" s="6" t="str">
        <f>IFERROR(__xludf.DUMMYFUNCTION("""COMPUTED_VALUE"""),"STORES利用でECサイト風")</f>
        <v>STORES利用でECサイト風</v>
      </c>
      <c r="F135" s="8" t="s">
        <v>153</v>
      </c>
    </row>
    <row r="136">
      <c r="A136" s="6" t="str">
        <f t="shared" si="1"/>
        <v>0332</v>
      </c>
      <c r="B136" s="6" t="str">
        <f>IFERROR(__xludf.DUMMYFUNCTION("""COMPUTED_VALUE"""),"Sehinoa")</f>
        <v>Sehinoa</v>
      </c>
      <c r="C136" s="7" t="str">
        <f>IFERROR(__xludf.DUMMYFUNCTION("""COMPUTED_VALUE"""),"https://select-type.com/s/sehinoa")</f>
        <v>https://select-type.com/s/sehinoa</v>
      </c>
      <c r="D136" s="6" t="str">
        <f>IFERROR(__xludf.DUMMYFUNCTION("""COMPUTED_VALUE"""),"△")</f>
        <v>△</v>
      </c>
      <c r="E136" s="6" t="str">
        <f>IFERROR(__xludf.DUMMYFUNCTION("""COMPUTED_VALUE"""),"予約システム標準で独自性が薄い")</f>
        <v>予約システム標準で独自性が薄い</v>
      </c>
      <c r="F136" s="8" t="s">
        <v>154</v>
      </c>
    </row>
    <row r="137">
      <c r="A137" s="6" t="str">
        <f t="shared" si="1"/>
        <v>0333</v>
      </c>
      <c r="B137" s="6" t="str">
        <f>IFERROR(__xludf.DUMMYFUNCTION("""COMPUTED_VALUE"""),"feelOASIS")</f>
        <v>feelOASIS</v>
      </c>
      <c r="C137" s="7" t="str">
        <f>IFERROR(__xludf.DUMMYFUNCTION("""COMPUTED_VALUE"""),"https://feeloasis2.sakura.ne.jp/")</f>
        <v>https://feeloasis2.sakura.ne.jp/</v>
      </c>
      <c r="D137" s="6" t="str">
        <f>IFERROR(__xludf.DUMMYFUNCTION("""COMPUTED_VALUE"""),"△")</f>
        <v>△</v>
      </c>
      <c r="E137" s="6" t="str">
        <f>IFERROR(__xludf.DUMMYFUNCTION("""COMPUTED_VALUE"""),"アロマサロンでサイトは少し古め")</f>
        <v>アロマサロンでサイトは少し古め</v>
      </c>
      <c r="F137" s="8" t="s">
        <v>155</v>
      </c>
    </row>
    <row r="138">
      <c r="A138" s="6" t="str">
        <f t="shared" si="1"/>
        <v>0334</v>
      </c>
      <c r="B138" s="6" t="str">
        <f>IFERROR(__xludf.DUMMYFUNCTION("""COMPUTED_VALUE"""),"占い×レイキ BiBi")</f>
        <v>占い×レイキ BiBi</v>
      </c>
      <c r="C138" s="7" t="str">
        <f>IFERROR(__xludf.DUMMYFUNCTION("""COMPUTED_VALUE"""),"https://bibifortunetelling.stores.jp/")</f>
        <v>https://bibifortunetelling.stores.jp/</v>
      </c>
      <c r="D138" s="6" t="str">
        <f>IFERROR(__xludf.DUMMYFUNCTION("""COMPUTED_VALUE"""),"△")</f>
        <v>△</v>
      </c>
      <c r="E138" s="6" t="str">
        <f>IFERROR(__xludf.DUMMYFUNCTION("""COMPUTED_VALUE"""),"STORES利用でECサイト風")</f>
        <v>STORES利用でECサイト風</v>
      </c>
      <c r="F138" s="8" t="s">
        <v>156</v>
      </c>
    </row>
    <row r="139">
      <c r="A139" s="6" t="str">
        <f t="shared" si="1"/>
        <v>0335</v>
      </c>
      <c r="B139" s="6" t="str">
        <f>IFERROR(__xludf.DUMMYFUNCTION("""COMPUTED_VALUE"""),"Sehinoa")</f>
        <v>Sehinoa</v>
      </c>
      <c r="C139" s="7" t="str">
        <f>IFERROR(__xludf.DUMMYFUNCTION("""COMPUTED_VALUE"""),"https://select-type.com/s/sehinoa")</f>
        <v>https://select-type.com/s/sehinoa</v>
      </c>
      <c r="D139" s="6" t="str">
        <f>IFERROR(__xludf.DUMMYFUNCTION("""COMPUTED_VALUE"""),"△")</f>
        <v>△</v>
      </c>
      <c r="E139" s="6" t="str">
        <f>IFERROR(__xludf.DUMMYFUNCTION("""COMPUTED_VALUE"""),"予約システム標準で独自性が薄い")</f>
        <v>予約システム標準で独自性が薄い</v>
      </c>
      <c r="F139" s="8" t="s">
        <v>157</v>
      </c>
    </row>
    <row r="140">
      <c r="A140" s="6" t="str">
        <f t="shared" si="1"/>
        <v>0336</v>
      </c>
      <c r="B140" s="1" t="s">
        <v>158</v>
      </c>
      <c r="F140" s="8" t="s">
        <v>159</v>
      </c>
    </row>
    <row r="141">
      <c r="A141" s="6" t="str">
        <f t="shared" si="1"/>
        <v>0337</v>
      </c>
      <c r="B141" s="6" t="str">
        <f>IFERROR(__xludf.DUMMYFUNCTION("QUERY('江戸川区'!A:D, ""select * where C='△'"", 1)"),"自然療法サロン 芳香")</f>
        <v>自然療法サロン 芳香</v>
      </c>
      <c r="C141" s="7" t="str">
        <f>IFERROR(__xludf.DUMMYFUNCTION("""COMPUTED_VALUE"""),"https://www.houka-k.com/")</f>
        <v>https://www.houka-k.com/</v>
      </c>
      <c r="D141" s="6" t="str">
        <f>IFERROR(__xludf.DUMMYFUNCTION("""COMPUTED_VALUE"""),"○")</f>
        <v>○</v>
      </c>
      <c r="E141" s="6" t="str">
        <f>IFERROR(__xludf.DUMMYFUNCTION("""COMPUTED_VALUE"""),"瑞江のサロンで構成が整っている")</f>
        <v>瑞江のサロンで構成が整っている</v>
      </c>
      <c r="F141" s="8" t="s">
        <v>160</v>
      </c>
    </row>
    <row r="142">
      <c r="A142" s="6" t="str">
        <f t="shared" si="1"/>
        <v>0338</v>
      </c>
      <c r="B142" s="6" t="str">
        <f>IFERROR(__xludf.DUMMYFUNCTION("""COMPUTED_VALUE"""),"天龍館")</f>
        <v>天龍館</v>
      </c>
      <c r="C142" s="7" t="str">
        <f>IFERROR(__xludf.DUMMYFUNCTION("""COMPUTED_VALUE"""),"https://tenryukan.com/")</f>
        <v>https://tenryukan.com/</v>
      </c>
      <c r="D142" s="6" t="str">
        <f>IFERROR(__xludf.DUMMYFUNCTION("""COMPUTED_VALUE"""),"△")</f>
        <v>△</v>
      </c>
      <c r="E142" s="6" t="str">
        <f>IFERROR(__xludf.DUMMYFUNCTION("""COMPUTED_VALUE"""),"伝統的な占いでサイトは少し古め")</f>
        <v>伝統的な占いでサイトは少し古め</v>
      </c>
      <c r="F142" s="8" t="s">
        <v>161</v>
      </c>
    </row>
    <row r="143">
      <c r="A143" s="6" t="str">
        <f t="shared" si="1"/>
        <v>0339</v>
      </c>
      <c r="B143" s="6" t="str">
        <f>IFERROR(__xludf.DUMMYFUNCTION("""COMPUTED_VALUE"""),"ヒーリングサロン 癒しの森")</f>
        <v>ヒーリングサロン 癒しの森</v>
      </c>
      <c r="C143" s="7" t="str">
        <f>IFERROR(__xludf.DUMMYFUNCTION("""COMPUTED_VALUE"""),"https://iyashinomori-ogikubo.com/")</f>
        <v>https://iyashinomori-ogikubo.com/</v>
      </c>
      <c r="D143" s="6" t="str">
        <f>IFERROR(__xludf.DUMMYFUNCTION("""COMPUTED_VALUE"""),"△")</f>
        <v>△</v>
      </c>
      <c r="E143" s="6" t="str">
        <f>IFERROR(__xludf.DUMMYFUNCTION("""COMPUTED_VALUE"""),"サイトは簡易的")</f>
        <v>サイトは簡易的</v>
      </c>
      <c r="F143" s="8" t="s">
        <v>162</v>
      </c>
    </row>
    <row r="144">
      <c r="A144" s="6" t="str">
        <f t="shared" si="1"/>
        <v>0340</v>
      </c>
      <c r="B144" s="6" t="str">
        <f>IFERROR(__xludf.DUMMYFUNCTION("""COMPUTED_VALUE"""),"feelOASIS")</f>
        <v>feelOASIS</v>
      </c>
      <c r="C144" s="7" t="str">
        <f>IFERROR(__xludf.DUMMYFUNCTION("""COMPUTED_VALUE"""),"https://feeloasis2.sakura.ne.jp/")</f>
        <v>https://feeloasis2.sakura.ne.jp/</v>
      </c>
      <c r="D144" s="6" t="str">
        <f>IFERROR(__xludf.DUMMYFUNCTION("""COMPUTED_VALUE"""),"△")</f>
        <v>△</v>
      </c>
      <c r="E144" s="6" t="str">
        <f>IFERROR(__xludf.DUMMYFUNCTION("""COMPUTED_VALUE"""),"アロマサロンでサイトは少し古め")</f>
        <v>アロマサロンでサイトは少し古め</v>
      </c>
      <c r="F144" s="8" t="s">
        <v>163</v>
      </c>
    </row>
    <row r="145">
      <c r="A145" s="6" t="str">
        <f t="shared" si="1"/>
        <v>0341</v>
      </c>
      <c r="B145" s="6" t="str">
        <f>IFERROR(__xludf.DUMMYFUNCTION("""COMPUTED_VALUE"""),"占い×レイキ BiBi")</f>
        <v>占い×レイキ BiBi</v>
      </c>
      <c r="C145" s="7" t="str">
        <f>IFERROR(__xludf.DUMMYFUNCTION("""COMPUTED_VALUE"""),"https://bibifortunetelling.stores.jp/")</f>
        <v>https://bibifortunetelling.stores.jp/</v>
      </c>
      <c r="D145" s="6" t="str">
        <f>IFERROR(__xludf.DUMMYFUNCTION("""COMPUTED_VALUE"""),"△")</f>
        <v>△</v>
      </c>
      <c r="E145" s="6" t="str">
        <f>IFERROR(__xludf.DUMMYFUNCTION("""COMPUTED_VALUE"""),"STORES利用でECサイト風")</f>
        <v>STORES利用でECサイト風</v>
      </c>
      <c r="F145" s="8" t="s">
        <v>164</v>
      </c>
    </row>
    <row r="146">
      <c r="A146" s="6" t="str">
        <f t="shared" si="1"/>
        <v>0342</v>
      </c>
      <c r="B146" s="6" t="str">
        <f>IFERROR(__xludf.DUMMYFUNCTION("""COMPUTED_VALUE"""),"Sehinoa")</f>
        <v>Sehinoa</v>
      </c>
      <c r="C146" s="7" t="str">
        <f>IFERROR(__xludf.DUMMYFUNCTION("""COMPUTED_VALUE"""),"https://select-type.com/s/sehinoa")</f>
        <v>https://select-type.com/s/sehinoa</v>
      </c>
      <c r="D146" s="6" t="str">
        <f>IFERROR(__xludf.DUMMYFUNCTION("""COMPUTED_VALUE"""),"△")</f>
        <v>△</v>
      </c>
      <c r="E146" s="6" t="str">
        <f>IFERROR(__xludf.DUMMYFUNCTION("""COMPUTED_VALUE"""),"予約システム標準で独自性が薄い")</f>
        <v>予約システム標準で独自性が薄い</v>
      </c>
      <c r="F146" s="8" t="s">
        <v>165</v>
      </c>
    </row>
    <row r="147">
      <c r="A147" s="6" t="str">
        <f t="shared" si="1"/>
        <v>0343</v>
      </c>
      <c r="B147" s="6" t="str">
        <f>IFERROR(__xludf.DUMMYFUNCTION("""COMPUTED_VALUE"""),"feelOASIS")</f>
        <v>feelOASIS</v>
      </c>
      <c r="C147" s="7" t="str">
        <f>IFERROR(__xludf.DUMMYFUNCTION("""COMPUTED_VALUE"""),"https://feeloasis2.sakura.ne.jp/")</f>
        <v>https://feeloasis2.sakura.ne.jp/</v>
      </c>
      <c r="D147" s="6" t="str">
        <f>IFERROR(__xludf.DUMMYFUNCTION("""COMPUTED_VALUE"""),"△")</f>
        <v>△</v>
      </c>
      <c r="E147" s="6" t="str">
        <f>IFERROR(__xludf.DUMMYFUNCTION("""COMPUTED_VALUE"""),"アロマサロンでサイトは少し古め")</f>
        <v>アロマサロンでサイトは少し古め</v>
      </c>
      <c r="F147" s="8" t="s">
        <v>166</v>
      </c>
    </row>
    <row r="148">
      <c r="A148" s="6" t="str">
        <f t="shared" si="1"/>
        <v>0344</v>
      </c>
      <c r="B148" s="6" t="str">
        <f>IFERROR(__xludf.DUMMYFUNCTION("""COMPUTED_VALUE"""),"占い×レイキ BiBi")</f>
        <v>占い×レイキ BiBi</v>
      </c>
      <c r="C148" s="7" t="str">
        <f>IFERROR(__xludf.DUMMYFUNCTION("""COMPUTED_VALUE"""),"https://bibifortunetelling.stores.jp/")</f>
        <v>https://bibifortunetelling.stores.jp/</v>
      </c>
      <c r="D148" s="6" t="str">
        <f>IFERROR(__xludf.DUMMYFUNCTION("""COMPUTED_VALUE"""),"△")</f>
        <v>△</v>
      </c>
      <c r="E148" s="6" t="str">
        <f>IFERROR(__xludf.DUMMYFUNCTION("""COMPUTED_VALUE"""),"STORES利用でECサイト風")</f>
        <v>STORES利用でECサイト風</v>
      </c>
      <c r="F148" s="8" t="s">
        <v>167</v>
      </c>
    </row>
    <row r="149">
      <c r="A149" s="6" t="str">
        <f t="shared" si="1"/>
        <v>0345</v>
      </c>
      <c r="B149" s="6" t="str">
        <f>IFERROR(__xludf.DUMMYFUNCTION("""COMPUTED_VALUE"""),"Sehinoa")</f>
        <v>Sehinoa</v>
      </c>
      <c r="C149" s="7" t="str">
        <f>IFERROR(__xludf.DUMMYFUNCTION("""COMPUTED_VALUE"""),"https://select-type.com/s/sehinoa")</f>
        <v>https://select-type.com/s/sehinoa</v>
      </c>
      <c r="D149" s="6" t="str">
        <f>IFERROR(__xludf.DUMMYFUNCTION("""COMPUTED_VALUE"""),"△")</f>
        <v>△</v>
      </c>
      <c r="E149" s="6" t="str">
        <f>IFERROR(__xludf.DUMMYFUNCTION("""COMPUTED_VALUE"""),"予約システム標準で独自性が薄い")</f>
        <v>予約システム標準で独自性が薄い</v>
      </c>
      <c r="F149" s="8" t="s">
        <v>168</v>
      </c>
    </row>
    <row r="150">
      <c r="C150" s="9"/>
      <c r="F150" s="4"/>
    </row>
    <row r="151">
      <c r="F151" s="4"/>
    </row>
    <row r="152">
      <c r="F152" s="4"/>
    </row>
    <row r="153">
      <c r="F153" s="4"/>
    </row>
    <row r="154">
      <c r="F154" s="4"/>
    </row>
    <row r="155">
      <c r="F155" s="5"/>
    </row>
  </sheetData>
  <conditionalFormatting sqref="C1:C1000">
    <cfRule type="expression" dxfId="0" priority="1">
      <formula>COUTIF($C$2:$C1000 , $C2)&gt; 1</formula>
    </cfRule>
  </conditionalFormatting>
  <hyperlinks>
    <hyperlink r:id="rId1" ref="C4"/>
    <hyperlink r:id="rId2" ref="F4"/>
    <hyperlink r:id="rId3" ref="C5"/>
    <hyperlink r:id="rId4" ref="F5"/>
    <hyperlink r:id="rId5" ref="C6"/>
    <hyperlink r:id="rId6" ref="F6"/>
    <hyperlink r:id="rId7" ref="C7"/>
    <hyperlink r:id="rId8" ref="F7"/>
    <hyperlink r:id="rId9" ref="C8"/>
    <hyperlink r:id="rId10" ref="F8"/>
    <hyperlink r:id="rId11" ref="C9"/>
    <hyperlink r:id="rId12" ref="F9"/>
    <hyperlink r:id="rId13" ref="C10"/>
    <hyperlink r:id="rId14" ref="F10"/>
    <hyperlink r:id="rId15" ref="C11"/>
    <hyperlink r:id="rId16" ref="F11"/>
    <hyperlink r:id="rId17" ref="C12"/>
    <hyperlink r:id="rId18" ref="F12"/>
    <hyperlink r:id="rId19" ref="C13"/>
    <hyperlink r:id="rId20" ref="F13"/>
    <hyperlink r:id="rId21" ref="C14"/>
    <hyperlink r:id="rId22" ref="F14"/>
    <hyperlink r:id="rId23" ref="C15"/>
    <hyperlink r:id="rId24" ref="F15"/>
    <hyperlink r:id="rId25" ref="C16"/>
    <hyperlink r:id="rId26" ref="F16"/>
    <hyperlink r:id="rId27" ref="C17"/>
    <hyperlink r:id="rId28" ref="F17"/>
    <hyperlink r:id="rId29" ref="C18"/>
    <hyperlink r:id="rId30" ref="F18"/>
    <hyperlink r:id="rId31" ref="C19"/>
    <hyperlink r:id="rId32" ref="F19"/>
    <hyperlink r:id="rId33" ref="C20"/>
    <hyperlink r:id="rId34" ref="F20"/>
    <hyperlink r:id="rId35" ref="C21"/>
    <hyperlink r:id="rId36" ref="F21"/>
    <hyperlink r:id="rId37" ref="C22"/>
    <hyperlink r:id="rId38" ref="F22"/>
    <hyperlink r:id="rId39" ref="C23"/>
    <hyperlink r:id="rId40" ref="F23"/>
    <hyperlink r:id="rId41" ref="C24"/>
    <hyperlink r:id="rId42" ref="F24"/>
    <hyperlink r:id="rId43" ref="C25"/>
    <hyperlink r:id="rId44" ref="F25"/>
    <hyperlink r:id="rId45" ref="C26"/>
    <hyperlink r:id="rId46" ref="F26"/>
    <hyperlink r:id="rId47" ref="C27"/>
    <hyperlink r:id="rId48" ref="F27"/>
    <hyperlink r:id="rId49" ref="C28"/>
    <hyperlink r:id="rId50" ref="F28"/>
    <hyperlink r:id="rId51" ref="C29"/>
    <hyperlink r:id="rId52" ref="F29"/>
    <hyperlink r:id="rId53" ref="C30"/>
    <hyperlink r:id="rId54" ref="F30"/>
    <hyperlink r:id="rId55" ref="C31"/>
    <hyperlink r:id="rId56" ref="F31"/>
    <hyperlink r:id="rId57" ref="C32"/>
    <hyperlink r:id="rId58" ref="F32"/>
    <hyperlink r:id="rId59" ref="C33"/>
    <hyperlink r:id="rId60" ref="F33"/>
    <hyperlink r:id="rId61" ref="C34"/>
    <hyperlink r:id="rId62" ref="F34"/>
    <hyperlink r:id="rId63" ref="C35"/>
    <hyperlink r:id="rId64" ref="F35"/>
    <hyperlink r:id="rId65" ref="C36"/>
    <hyperlink r:id="rId66" ref="F36"/>
    <hyperlink r:id="rId67" ref="F37"/>
    <hyperlink r:id="rId68" ref="F38"/>
    <hyperlink r:id="rId69" ref="C39"/>
    <hyperlink r:id="rId70" ref="F39"/>
    <hyperlink r:id="rId71" ref="C40"/>
    <hyperlink r:id="rId72" ref="F40"/>
    <hyperlink r:id="rId73" ref="C41"/>
    <hyperlink r:id="rId74" ref="F41"/>
    <hyperlink r:id="rId75" ref="C42"/>
    <hyperlink r:id="rId76" ref="F42"/>
    <hyperlink r:id="rId77" ref="C43"/>
    <hyperlink r:id="rId78" ref="F43"/>
    <hyperlink r:id="rId79" ref="C44"/>
    <hyperlink r:id="rId80" ref="F44"/>
    <hyperlink r:id="rId81" ref="C45"/>
    <hyperlink r:id="rId82" ref="F45"/>
    <hyperlink r:id="rId83" ref="C46"/>
    <hyperlink r:id="rId84" ref="F46"/>
    <hyperlink r:id="rId85" ref="C47"/>
    <hyperlink r:id="rId86" ref="F47"/>
    <hyperlink r:id="rId87" ref="C48"/>
    <hyperlink r:id="rId88" ref="F48"/>
    <hyperlink r:id="rId89" ref="C49"/>
    <hyperlink r:id="rId90" ref="F49"/>
    <hyperlink r:id="rId91" ref="C50"/>
    <hyperlink r:id="rId92" ref="F50"/>
    <hyperlink r:id="rId93" ref="C51"/>
    <hyperlink r:id="rId94" ref="F51"/>
    <hyperlink r:id="rId95" ref="C52"/>
    <hyperlink r:id="rId96" ref="F52"/>
    <hyperlink r:id="rId97" ref="C53"/>
    <hyperlink r:id="rId98" ref="F53"/>
    <hyperlink r:id="rId99" ref="C54"/>
    <hyperlink r:id="rId100" ref="F54"/>
    <hyperlink r:id="rId101" ref="C55"/>
    <hyperlink r:id="rId102" ref="F55"/>
    <hyperlink r:id="rId103" ref="C56"/>
    <hyperlink r:id="rId104" ref="F56"/>
    <hyperlink r:id="rId105" ref="C57"/>
    <hyperlink r:id="rId106" ref="F57"/>
    <hyperlink r:id="rId107" ref="C58"/>
    <hyperlink r:id="rId108" ref="F58"/>
    <hyperlink r:id="rId109" ref="C59"/>
    <hyperlink r:id="rId110" ref="F59"/>
    <hyperlink r:id="rId111" ref="C60"/>
    <hyperlink r:id="rId112" ref="F60"/>
    <hyperlink r:id="rId113" ref="C61"/>
    <hyperlink r:id="rId114" ref="F61"/>
    <hyperlink r:id="rId115" ref="C62"/>
    <hyperlink r:id="rId116" ref="F62"/>
    <hyperlink r:id="rId117" ref="C63"/>
    <hyperlink r:id="rId118" ref="F63"/>
    <hyperlink r:id="rId119" ref="C64"/>
    <hyperlink r:id="rId120" ref="F64"/>
    <hyperlink r:id="rId121" ref="C65"/>
    <hyperlink r:id="rId122" ref="F65"/>
    <hyperlink r:id="rId123" ref="F66"/>
    <hyperlink r:id="rId124" ref="C67"/>
    <hyperlink r:id="rId125" ref="F67"/>
    <hyperlink r:id="rId126" ref="C68"/>
    <hyperlink r:id="rId127" ref="F68"/>
    <hyperlink r:id="rId128" ref="C69"/>
    <hyperlink r:id="rId129" ref="F69"/>
    <hyperlink r:id="rId130" ref="C70"/>
    <hyperlink r:id="rId131" ref="F70"/>
    <hyperlink r:id="rId132" ref="C71"/>
    <hyperlink r:id="rId133" ref="F71"/>
    <hyperlink r:id="rId134" ref="C72"/>
    <hyperlink r:id="rId135" ref="F72"/>
    <hyperlink r:id="rId136" ref="C73"/>
    <hyperlink r:id="rId137" ref="F73"/>
    <hyperlink r:id="rId138" ref="C74"/>
    <hyperlink r:id="rId139" ref="F74"/>
    <hyperlink r:id="rId140" ref="C75"/>
    <hyperlink r:id="rId141" ref="F75"/>
    <hyperlink r:id="rId142" ref="C76"/>
    <hyperlink r:id="rId143" ref="F76"/>
    <hyperlink r:id="rId144" ref="C77"/>
    <hyperlink r:id="rId145" ref="F77"/>
    <hyperlink r:id="rId146" ref="C78"/>
    <hyperlink r:id="rId147" ref="F78"/>
    <hyperlink r:id="rId148" ref="C79"/>
    <hyperlink r:id="rId149" ref="F79"/>
    <hyperlink r:id="rId150" ref="C80"/>
    <hyperlink r:id="rId151" ref="F80"/>
    <hyperlink r:id="rId152" ref="F81"/>
    <hyperlink r:id="rId153" ref="F82"/>
    <hyperlink r:id="rId154" ref="C83"/>
    <hyperlink r:id="rId155" ref="F83"/>
    <hyperlink r:id="rId156" ref="C84"/>
    <hyperlink r:id="rId157" ref="F84"/>
    <hyperlink r:id="rId158" ref="C85"/>
    <hyperlink r:id="rId159" ref="F85"/>
    <hyperlink r:id="rId160" ref="C86"/>
    <hyperlink r:id="rId161" ref="F86"/>
    <hyperlink r:id="rId162" ref="C87"/>
    <hyperlink r:id="rId163" ref="F87"/>
    <hyperlink r:id="rId164" ref="C88"/>
    <hyperlink r:id="rId165" ref="F88"/>
    <hyperlink r:id="rId166" ref="C89"/>
    <hyperlink r:id="rId167" ref="F89"/>
    <hyperlink r:id="rId168" ref="C90"/>
    <hyperlink r:id="rId169" ref="F90"/>
    <hyperlink r:id="rId170" ref="C91"/>
    <hyperlink r:id="rId171" ref="F91"/>
    <hyperlink r:id="rId172" ref="C92"/>
    <hyperlink r:id="rId173" ref="F92"/>
    <hyperlink r:id="rId174" ref="C93"/>
    <hyperlink r:id="rId175" ref="F93"/>
    <hyperlink r:id="rId176" ref="C94"/>
    <hyperlink r:id="rId177" ref="F94"/>
    <hyperlink r:id="rId178" ref="C95"/>
    <hyperlink r:id="rId179" ref="F95"/>
    <hyperlink r:id="rId180" ref="C96"/>
    <hyperlink r:id="rId181" ref="F96"/>
    <hyperlink r:id="rId182" ref="C97"/>
    <hyperlink r:id="rId183" ref="F97"/>
    <hyperlink r:id="rId184" ref="C98"/>
    <hyperlink r:id="rId185" ref="F98"/>
    <hyperlink r:id="rId186" ref="C99"/>
    <hyperlink r:id="rId187" ref="F99"/>
    <hyperlink r:id="rId188" ref="C100"/>
    <hyperlink r:id="rId189" ref="F100"/>
    <hyperlink r:id="rId190" ref="F101"/>
    <hyperlink r:id="rId191" ref="F102"/>
    <hyperlink r:id="rId192" ref="C103"/>
    <hyperlink r:id="rId193" ref="F103"/>
    <hyperlink r:id="rId194" ref="C104"/>
    <hyperlink r:id="rId195" ref="F104"/>
    <hyperlink r:id="rId196" ref="C105"/>
    <hyperlink r:id="rId197" ref="F105"/>
    <hyperlink r:id="rId198" ref="C106"/>
    <hyperlink r:id="rId199" ref="F106"/>
    <hyperlink r:id="rId200" ref="C107"/>
    <hyperlink r:id="rId201" ref="F107"/>
    <hyperlink r:id="rId202" ref="C108"/>
    <hyperlink r:id="rId203" ref="F108"/>
    <hyperlink r:id="rId204" ref="C109"/>
    <hyperlink r:id="rId205" ref="F109"/>
    <hyperlink r:id="rId206" ref="C110"/>
    <hyperlink r:id="rId207" ref="F110"/>
    <hyperlink r:id="rId208" ref="C111"/>
    <hyperlink r:id="rId209" ref="F111"/>
    <hyperlink r:id="rId210" ref="C112"/>
    <hyperlink r:id="rId211" ref="F112"/>
    <hyperlink r:id="rId212" ref="F113"/>
    <hyperlink r:id="rId213" ref="C114"/>
    <hyperlink r:id="rId214" ref="F114"/>
    <hyperlink r:id="rId215" ref="C115"/>
    <hyperlink r:id="rId216" ref="F115"/>
    <hyperlink r:id="rId217" ref="C116"/>
    <hyperlink r:id="rId218" ref="F116"/>
    <hyperlink r:id="rId219" ref="C117"/>
    <hyperlink r:id="rId220" ref="F117"/>
    <hyperlink r:id="rId221" ref="C118"/>
    <hyperlink r:id="rId222" ref="F118"/>
    <hyperlink r:id="rId223" ref="C119"/>
    <hyperlink r:id="rId224" ref="F119"/>
    <hyperlink r:id="rId225" ref="C120"/>
    <hyperlink r:id="rId226" ref="F120"/>
    <hyperlink r:id="rId227" ref="C121"/>
    <hyperlink r:id="rId228" ref="F121"/>
    <hyperlink r:id="rId229" ref="C122"/>
    <hyperlink r:id="rId230" ref="F122"/>
    <hyperlink r:id="rId231" ref="F123"/>
    <hyperlink r:id="rId232" ref="C124"/>
    <hyperlink r:id="rId233" ref="F124"/>
    <hyperlink r:id="rId234" ref="C125"/>
    <hyperlink r:id="rId235" ref="F125"/>
    <hyperlink r:id="rId236" ref="C126"/>
    <hyperlink r:id="rId237" ref="F126"/>
    <hyperlink r:id="rId238" ref="C127"/>
    <hyperlink r:id="rId239" ref="F127"/>
    <hyperlink r:id="rId240" ref="C128"/>
    <hyperlink r:id="rId241" ref="F128"/>
    <hyperlink r:id="rId242" ref="C129"/>
    <hyperlink r:id="rId243" ref="F129"/>
    <hyperlink r:id="rId244" ref="C130"/>
    <hyperlink r:id="rId245" ref="F130"/>
    <hyperlink r:id="rId246" ref="C131"/>
    <hyperlink r:id="rId247" ref="F131"/>
    <hyperlink r:id="rId248" ref="C132"/>
    <hyperlink r:id="rId249" ref="F132"/>
    <hyperlink r:id="rId250" ref="C133"/>
    <hyperlink r:id="rId251" ref="F133"/>
    <hyperlink r:id="rId252" ref="C134"/>
    <hyperlink r:id="rId253" ref="F134"/>
    <hyperlink r:id="rId254" ref="C135"/>
    <hyperlink r:id="rId255" ref="F135"/>
    <hyperlink r:id="rId256" ref="C136"/>
    <hyperlink r:id="rId257" ref="F136"/>
    <hyperlink r:id="rId258" ref="C137"/>
    <hyperlink r:id="rId259" ref="F137"/>
    <hyperlink r:id="rId260" ref="C138"/>
    <hyperlink r:id="rId261" ref="F138"/>
    <hyperlink r:id="rId262" ref="C139"/>
    <hyperlink r:id="rId263" ref="F139"/>
    <hyperlink r:id="rId264" ref="F140"/>
    <hyperlink r:id="rId265" ref="C141"/>
    <hyperlink r:id="rId266" ref="F141"/>
    <hyperlink r:id="rId267" ref="C142"/>
    <hyperlink r:id="rId268" ref="F142"/>
    <hyperlink r:id="rId269" ref="C143"/>
    <hyperlink r:id="rId270" ref="F143"/>
    <hyperlink r:id="rId271" ref="C144"/>
    <hyperlink r:id="rId272" ref="F144"/>
    <hyperlink r:id="rId273" ref="C145"/>
    <hyperlink r:id="rId274" ref="F145"/>
    <hyperlink r:id="rId275" ref="C146"/>
    <hyperlink r:id="rId276" ref="F146"/>
    <hyperlink r:id="rId277" ref="C147"/>
    <hyperlink r:id="rId278" ref="F147"/>
    <hyperlink r:id="rId279" ref="C148"/>
    <hyperlink r:id="rId280" ref="F148"/>
    <hyperlink r:id="rId281" ref="C149"/>
    <hyperlink r:id="rId282" ref="F149"/>
  </hyperlinks>
  <drawing r:id="rId28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0</v>
      </c>
      <c r="I1" s="1" t="s">
        <v>6</v>
      </c>
      <c r="J1" s="1" t="s">
        <v>7</v>
      </c>
      <c r="K1" s="1" t="s">
        <v>169</v>
      </c>
    </row>
    <row r="2">
      <c r="A2" s="1"/>
      <c r="B2" s="1" t="s">
        <v>170</v>
      </c>
      <c r="K2" s="1" t="s">
        <v>171</v>
      </c>
    </row>
    <row r="3">
      <c r="A3" s="6" t="str">
        <f t="shared" ref="A3:A149" si="1">TEXT(345 + ROW() -2,"0000")</f>
        <v>0346</v>
      </c>
      <c r="B3" s="6" t="str">
        <f>IFERROR(__xludf.DUMMYFUNCTION("QUERY('江東区'!A:D, ""select * where C='△'"", 1)"),"占いサロン 月華")</f>
        <v>占いサロン 月華</v>
      </c>
      <c r="C3" s="7" t="str">
        <f>IFERROR(__xludf.DUMMYFUNCTION("""COMPUTED_VALUE"""),"https://uranai-gekka.com/")</f>
        <v>https://uranai-gekka.com/</v>
      </c>
      <c r="D3" s="6" t="str">
        <f>IFERROR(__xludf.DUMMYFUNCTION("""COMPUTED_VALUE"""),"○")</f>
        <v>○</v>
      </c>
      <c r="E3" s="6" t="str">
        <f>IFERROR(__xludf.DUMMYFUNCTION("""COMPUTED_VALUE"""),"デザイン・構成が整っている")</f>
        <v>デザイン・構成が整っている</v>
      </c>
      <c r="F3" s="8" t="s">
        <v>172</v>
      </c>
    </row>
    <row r="4">
      <c r="A4" s="6" t="str">
        <f t="shared" si="1"/>
        <v>0347</v>
      </c>
      <c r="B4" s="6" t="str">
        <f>IFERROR(__xludf.DUMMYFUNCTION("""COMPUTED_VALUE"""),"レイキサロンHeartpeck")</f>
        <v>レイキサロンHeartpeck</v>
      </c>
      <c r="C4" s="7" t="str">
        <f>IFERROR(__xludf.DUMMYFUNCTION("""COMPUTED_VALUE"""),"https://iyashidokorotommy.themedia.jp/")</f>
        <v>https://iyashidokorotommy.themedia.jp/</v>
      </c>
      <c r="D4" s="6" t="str">
        <f>IFERROR(__xludf.DUMMYFUNCTION("""COMPUTED_VALUE"""),"△")</f>
        <v>△</v>
      </c>
      <c r="E4" s="6" t="str">
        <f>IFERROR(__xludf.DUMMYFUNCTION("""COMPUTED_VALUE"""),"Ameba Owndで簡易的")</f>
        <v>Ameba Owndで簡易的</v>
      </c>
      <c r="F4" s="8" t="s">
        <v>173</v>
      </c>
    </row>
    <row r="5">
      <c r="A5" s="6" t="str">
        <f t="shared" si="1"/>
        <v>0348</v>
      </c>
      <c r="B5" s="6" t="str">
        <f>IFERROR(__xludf.DUMMYFUNCTION("""COMPUTED_VALUE"""),"lotus-lotus")</f>
        <v>lotus-lotus</v>
      </c>
      <c r="C5" s="7" t="str">
        <f>IFERROR(__xludf.DUMMYFUNCTION("""COMPUTED_VALUE"""),"https://lotus-lotus.jimdofree.com/")</f>
        <v>https://lotus-lotus.jimdofree.com/</v>
      </c>
      <c r="D5" s="6" t="str">
        <f>IFERROR(__xludf.DUMMYFUNCTION("""COMPUTED_VALUE"""),"△")</f>
        <v>△</v>
      </c>
      <c r="E5" s="6" t="str">
        <f>IFERROR(__xludf.DUMMYFUNCTION("""COMPUTED_VALUE"""),"Jimdo無料版でデザイン古い")</f>
        <v>Jimdo無料版でデザイン古い</v>
      </c>
      <c r="F5" s="8" t="s">
        <v>174</v>
      </c>
    </row>
    <row r="6">
      <c r="A6" s="6" t="str">
        <f t="shared" si="1"/>
        <v>0349</v>
      </c>
      <c r="B6" s="6" t="str">
        <f>IFERROR(__xludf.DUMMYFUNCTION("""COMPUTED_VALUE"""),"占い佑泉（Wix）")</f>
        <v>占い佑泉（Wix）</v>
      </c>
      <c r="C6" s="7" t="str">
        <f>IFERROR(__xludf.DUMMYFUNCTION("""COMPUTED_VALUE"""),"https://27fudo.wixsite.com/yusen")</f>
        <v>https://27fudo.wixsite.com/yusen</v>
      </c>
      <c r="D6" s="6" t="str">
        <f>IFERROR(__xludf.DUMMYFUNCTION("""COMPUTED_VALUE"""),"△")</f>
        <v>△</v>
      </c>
      <c r="E6" s="6" t="str">
        <f>IFERROR(__xludf.DUMMYFUNCTION("""COMPUTED_VALUE"""),"Wix無料版でデザイン古い")</f>
        <v>Wix無料版でデザイン古い</v>
      </c>
      <c r="F6" s="8" t="s">
        <v>175</v>
      </c>
    </row>
    <row r="7">
      <c r="A7" s="6" t="str">
        <f t="shared" si="1"/>
        <v>0350</v>
      </c>
      <c r="B7" s="6" t="str">
        <f>IFERROR(__xludf.DUMMYFUNCTION("""COMPUTED_VALUE"""),"占い佑泉（Ownd）")</f>
        <v>占い佑泉（Ownd）</v>
      </c>
      <c r="C7" s="7" t="str">
        <f>IFERROR(__xludf.DUMMYFUNCTION("""COMPUTED_VALUE"""),"https://yuusenkanteiroom.amebaownd.com/")</f>
        <v>https://yuusenkanteiroom.amebaownd.com/</v>
      </c>
      <c r="D7" s="6" t="str">
        <f>IFERROR(__xludf.DUMMYFUNCTION("""COMPUTED_VALUE"""),"△")</f>
        <v>△</v>
      </c>
      <c r="E7" s="6" t="str">
        <f>IFERROR(__xludf.DUMMYFUNCTION("""COMPUTED_VALUE"""),"Ameba Owndで簡易的")</f>
        <v>Ameba Owndで簡易的</v>
      </c>
      <c r="F7" s="8" t="s">
        <v>176</v>
      </c>
    </row>
    <row r="8">
      <c r="A8" s="6" t="str">
        <f t="shared" si="1"/>
        <v>0351</v>
      </c>
      <c r="B8" s="6" t="str">
        <f>IFERROR(__xludf.DUMMYFUNCTION("""COMPUTED_VALUE"""),"ヒーリングゲート")</f>
        <v>ヒーリングゲート</v>
      </c>
      <c r="C8" s="7" t="str">
        <f>IFERROR(__xludf.DUMMYFUNCTION("""COMPUTED_VALUE"""),"http://www.healing-gate.com/")</f>
        <v>http://www.healing-gate.com/</v>
      </c>
      <c r="D8" s="6" t="str">
        <f>IFERROR(__xludf.DUMMYFUNCTION("""COMPUTED_VALUE"""),"△")</f>
        <v>△</v>
      </c>
      <c r="E8" s="6" t="str">
        <f>IFERROR(__xludf.DUMMYFUNCTION("""COMPUTED_VALUE"""),"情報はあるがデザインが古い")</f>
        <v>情報はあるがデザインが古い</v>
      </c>
      <c r="F8" s="8" t="s">
        <v>177</v>
      </c>
    </row>
    <row r="9">
      <c r="A9" s="6" t="str">
        <f t="shared" si="1"/>
        <v>0352</v>
      </c>
      <c r="B9" s="6" t="str">
        <f>IFERROR(__xludf.DUMMYFUNCTION("""COMPUTED_VALUE"""),"未来を創るスピリチュアルセッション＆アート")</f>
        <v>未来を創るスピリチュアルセッション＆アート</v>
      </c>
      <c r="C9" s="7" t="str">
        <f>IFERROR(__xludf.DUMMYFUNCTION("""COMPUTED_VALUE"""),"https://kaorimaheki.com/")</f>
        <v>https://kaorimaheki.com/</v>
      </c>
      <c r="D9" s="6" t="str">
        <f>IFERROR(__xludf.DUMMYFUNCTION("""COMPUTED_VALUE"""),"△")</f>
        <v>△</v>
      </c>
      <c r="E9" s="6" t="str">
        <f>IFERROR(__xludf.DUMMYFUNCTION("""COMPUTED_VALUE"""),"情報はあるがデザインが古い")</f>
        <v>情報はあるがデザインが古い</v>
      </c>
      <c r="F9" s="8" t="s">
        <v>178</v>
      </c>
    </row>
    <row r="10">
      <c r="A10" s="6" t="str">
        <f t="shared" si="1"/>
        <v>0353</v>
      </c>
      <c r="B10" s="6" t="str">
        <f>IFERROR(__xludf.DUMMYFUNCTION("""COMPUTED_VALUE"""),"ボディケア整体サロン セオリツライト")</f>
        <v>ボディケア整体サロン セオリツライト</v>
      </c>
      <c r="C10" s="7" t="str">
        <f>IFERROR(__xludf.DUMMYFUNCTION("""COMPUTED_VALUE"""),"https://seoritsulight.jimdofree.com/")</f>
        <v>https://seoritsulight.jimdofree.com/</v>
      </c>
      <c r="D10" s="6" t="str">
        <f>IFERROR(__xludf.DUMMYFUNCTION("""COMPUTED_VALUE"""),"△")</f>
        <v>△</v>
      </c>
      <c r="E10" s="6" t="str">
        <f>IFERROR(__xludf.DUMMYFUNCTION("""COMPUTED_VALUE"""),"Jimdo無料版でデザイン古い")</f>
        <v>Jimdo無料版でデザイン古い</v>
      </c>
      <c r="F10" s="8" t="s">
        <v>179</v>
      </c>
    </row>
    <row r="11">
      <c r="A11" s="6" t="str">
        <f t="shared" si="1"/>
        <v>0354</v>
      </c>
      <c r="B11" s="6" t="str">
        <f>IFERROR(__xludf.DUMMYFUNCTION("""COMPUTED_VALUE"""),"Healing room kirari*plus")</f>
        <v>Healing room kirari*plus</v>
      </c>
      <c r="C11" s="7" t="str">
        <f>IFERROR(__xludf.DUMMYFUNCTION("""COMPUTED_VALUE"""),"https://site-1745061-8471-6198.mystrikingly.com/")</f>
        <v>https://site-1745061-8471-6198.mystrikingly.com/</v>
      </c>
      <c r="D11" s="6" t="str">
        <f>IFERROR(__xludf.DUMMYFUNCTION("""COMPUTED_VALUE"""),"△")</f>
        <v>△</v>
      </c>
      <c r="E11" s="6" t="str">
        <f>IFERROR(__xludf.DUMMYFUNCTION("""COMPUTED_VALUE"""),"Strikinglyで簡易的")</f>
        <v>Strikinglyで簡易的</v>
      </c>
      <c r="F11" s="8" t="s">
        <v>180</v>
      </c>
    </row>
    <row r="12">
      <c r="A12" s="6" t="str">
        <f t="shared" si="1"/>
        <v>0355</v>
      </c>
      <c r="B12" s="6" t="str">
        <f>IFERROR(__xludf.DUMMYFUNCTION("""COMPUTED_VALUE"""),"東京でヒーリングなら心に向き合う7の部屋")</f>
        <v>東京でヒーリングなら心に向き合う7の部屋</v>
      </c>
      <c r="C12" s="7" t="str">
        <f>IFERROR(__xludf.DUMMYFUNCTION("""COMPUTED_VALUE"""),"https://7room-mms.com/")</f>
        <v>https://7room-mms.com/</v>
      </c>
      <c r="D12" s="6" t="str">
        <f>IFERROR(__xludf.DUMMYFUNCTION("""COMPUTED_VALUE"""),"△")</f>
        <v>△</v>
      </c>
      <c r="E12" s="6" t="str">
        <f>IFERROR(__xludf.DUMMYFUNCTION("""COMPUTED_VALUE"""),"情報はあるがデザインが古い")</f>
        <v>情報はあるがデザインが古い</v>
      </c>
      <c r="F12" s="8" t="s">
        <v>181</v>
      </c>
    </row>
    <row r="13">
      <c r="A13" s="6" t="str">
        <f t="shared" si="1"/>
        <v>0356</v>
      </c>
      <c r="B13" s="6" t="str">
        <f>IFERROR(__xludf.DUMMYFUNCTION("""COMPUTED_VALUE"""),"ヒーリング・サロン")</f>
        <v>ヒーリング・サロン</v>
      </c>
      <c r="C13" s="7" t="str">
        <f>IFERROR(__xludf.DUMMYFUNCTION("""COMPUTED_VALUE"""),"https://healing-salon.jimdofree.com/")</f>
        <v>https://healing-salon.jimdofree.com/</v>
      </c>
      <c r="D13" s="6" t="str">
        <f>IFERROR(__xludf.DUMMYFUNCTION("""COMPUTED_VALUE"""),"△")</f>
        <v>△</v>
      </c>
      <c r="E13" s="6" t="str">
        <f>IFERROR(__xludf.DUMMYFUNCTION("""COMPUTED_VALUE"""),"Jimdo無料版でデザイン古い")</f>
        <v>Jimdo無料版でデザイン古い</v>
      </c>
      <c r="F13" s="8" t="s">
        <v>182</v>
      </c>
    </row>
    <row r="14">
      <c r="A14" s="6" t="str">
        <f t="shared" si="1"/>
        <v>0357</v>
      </c>
      <c r="B14" s="6" t="str">
        <f>IFERROR(__xludf.DUMMYFUNCTION("""COMPUTED_VALUE"""),"レイキサロンHeartpeck")</f>
        <v>レイキサロンHeartpeck</v>
      </c>
      <c r="C14" s="7" t="str">
        <f>IFERROR(__xludf.DUMMYFUNCTION("""COMPUTED_VALUE"""),"https://iyashidokorotommy.themedia.jp/")</f>
        <v>https://iyashidokorotommy.themedia.jp/</v>
      </c>
      <c r="D14" s="6" t="str">
        <f>IFERROR(__xludf.DUMMYFUNCTION("""COMPUTED_VALUE"""),"△")</f>
        <v>△</v>
      </c>
      <c r="E14" s="6" t="str">
        <f>IFERROR(__xludf.DUMMYFUNCTION("""COMPUTED_VALUE"""),"Ameba Owndで簡易的")</f>
        <v>Ameba Owndで簡易的</v>
      </c>
      <c r="F14" s="8" t="s">
        <v>183</v>
      </c>
    </row>
    <row r="15">
      <c r="A15" s="6" t="str">
        <f t="shared" si="1"/>
        <v>0358</v>
      </c>
      <c r="B15" s="6" t="str">
        <f>IFERROR(__xludf.DUMMYFUNCTION("""COMPUTED_VALUE"""),"lotus-lotus")</f>
        <v>lotus-lotus</v>
      </c>
      <c r="C15" s="7" t="str">
        <f>IFERROR(__xludf.DUMMYFUNCTION("""COMPUTED_VALUE"""),"https://lotus-lotus.jimdofree.com/")</f>
        <v>https://lotus-lotus.jimdofree.com/</v>
      </c>
      <c r="D15" s="6" t="str">
        <f>IFERROR(__xludf.DUMMYFUNCTION("""COMPUTED_VALUE"""),"△")</f>
        <v>△</v>
      </c>
      <c r="E15" s="6" t="str">
        <f>IFERROR(__xludf.DUMMYFUNCTION("""COMPUTED_VALUE"""),"Jimdo無料版でデザイン古い")</f>
        <v>Jimdo無料版でデザイン古い</v>
      </c>
      <c r="F15" s="8" t="s">
        <v>184</v>
      </c>
    </row>
    <row r="16">
      <c r="A16" s="6" t="str">
        <f t="shared" si="1"/>
        <v>0359</v>
      </c>
      <c r="B16" s="6" t="str">
        <f>IFERROR(__xludf.DUMMYFUNCTION("""COMPUTED_VALUE"""),"占い佑泉（Wix）")</f>
        <v>占い佑泉（Wix）</v>
      </c>
      <c r="C16" s="7" t="str">
        <f>IFERROR(__xludf.DUMMYFUNCTION("""COMPUTED_VALUE"""),"https://27fudo.wixsite.com/yusen")</f>
        <v>https://27fudo.wixsite.com/yusen</v>
      </c>
      <c r="D16" s="6" t="str">
        <f>IFERROR(__xludf.DUMMYFUNCTION("""COMPUTED_VALUE"""),"△")</f>
        <v>△</v>
      </c>
      <c r="E16" s="6" t="str">
        <f>IFERROR(__xludf.DUMMYFUNCTION("""COMPUTED_VALUE"""),"Wix無料版でデザイン古い")</f>
        <v>Wix無料版でデザイン古い</v>
      </c>
      <c r="F16" s="8" t="s">
        <v>185</v>
      </c>
    </row>
    <row r="17">
      <c r="A17" s="6" t="str">
        <f t="shared" si="1"/>
        <v>0360</v>
      </c>
      <c r="B17" s="6" t="str">
        <f>IFERROR(__xludf.DUMMYFUNCTION("""COMPUTED_VALUE"""),"占い佑泉（Ownd）")</f>
        <v>占い佑泉（Ownd）</v>
      </c>
      <c r="C17" s="7" t="str">
        <f>IFERROR(__xludf.DUMMYFUNCTION("""COMPUTED_VALUE"""),"https://yuusenkanteiroom.amebaownd.com/")</f>
        <v>https://yuusenkanteiroom.amebaownd.com/</v>
      </c>
      <c r="D17" s="6" t="str">
        <f>IFERROR(__xludf.DUMMYFUNCTION("""COMPUTED_VALUE"""),"△")</f>
        <v>△</v>
      </c>
      <c r="E17" s="6" t="str">
        <f>IFERROR(__xludf.DUMMYFUNCTION("""COMPUTED_VALUE"""),"Ameba Owndで簡易的")</f>
        <v>Ameba Owndで簡易的</v>
      </c>
      <c r="F17" s="8" t="s">
        <v>186</v>
      </c>
    </row>
    <row r="18">
      <c r="A18" s="6" t="str">
        <f t="shared" si="1"/>
        <v>0361</v>
      </c>
      <c r="B18" s="6" t="str">
        <f>IFERROR(__xludf.DUMMYFUNCTION("""COMPUTED_VALUE"""),"ヒーリングゲート")</f>
        <v>ヒーリングゲート</v>
      </c>
      <c r="C18" s="7" t="str">
        <f>IFERROR(__xludf.DUMMYFUNCTION("""COMPUTED_VALUE"""),"http://www.healing-gate.com/")</f>
        <v>http://www.healing-gate.com/</v>
      </c>
      <c r="D18" s="6" t="str">
        <f>IFERROR(__xludf.DUMMYFUNCTION("""COMPUTED_VALUE"""),"△")</f>
        <v>△</v>
      </c>
      <c r="E18" s="6" t="str">
        <f>IFERROR(__xludf.DUMMYFUNCTION("""COMPUTED_VALUE"""),"情報はあるがデザインが古い")</f>
        <v>情報はあるがデザインが古い</v>
      </c>
      <c r="F18" s="8" t="s">
        <v>187</v>
      </c>
    </row>
    <row r="19">
      <c r="A19" s="6" t="str">
        <f t="shared" si="1"/>
        <v>0362</v>
      </c>
      <c r="B19" s="6" t="str">
        <f>IFERROR(__xludf.DUMMYFUNCTION("""COMPUTED_VALUE"""),"未来を創るスピリチュアルセッション＆アート")</f>
        <v>未来を創るスピリチュアルセッション＆アート</v>
      </c>
      <c r="C19" s="7" t="str">
        <f>IFERROR(__xludf.DUMMYFUNCTION("""COMPUTED_VALUE"""),"https://kaorimaheki.com/")</f>
        <v>https://kaorimaheki.com/</v>
      </c>
      <c r="D19" s="6" t="str">
        <f>IFERROR(__xludf.DUMMYFUNCTION("""COMPUTED_VALUE"""),"△")</f>
        <v>△</v>
      </c>
      <c r="E19" s="6" t="str">
        <f>IFERROR(__xludf.DUMMYFUNCTION("""COMPUTED_VALUE"""),"情報はあるがデザインが古い")</f>
        <v>情報はあるがデザインが古い</v>
      </c>
      <c r="F19" s="8" t="s">
        <v>188</v>
      </c>
    </row>
    <row r="20">
      <c r="A20" s="6" t="str">
        <f t="shared" si="1"/>
        <v>0363</v>
      </c>
      <c r="B20" s="6" t="str">
        <f>IFERROR(__xludf.DUMMYFUNCTION("""COMPUTED_VALUE"""),"ボディケア整体サロン セオリツライト")</f>
        <v>ボディケア整体サロン セオリツライト</v>
      </c>
      <c r="C20" s="7" t="str">
        <f>IFERROR(__xludf.DUMMYFUNCTION("""COMPUTED_VALUE"""),"https://seoritsulight.jimdofree.com/")</f>
        <v>https://seoritsulight.jimdofree.com/</v>
      </c>
      <c r="D20" s="6" t="str">
        <f>IFERROR(__xludf.DUMMYFUNCTION("""COMPUTED_VALUE"""),"△")</f>
        <v>△</v>
      </c>
      <c r="E20" s="6" t="str">
        <f>IFERROR(__xludf.DUMMYFUNCTION("""COMPUTED_VALUE"""),"Jimdo無料版でデザイン古い")</f>
        <v>Jimdo無料版でデザイン古い</v>
      </c>
      <c r="F20" s="8" t="s">
        <v>189</v>
      </c>
    </row>
    <row r="21">
      <c r="A21" s="6" t="str">
        <f t="shared" si="1"/>
        <v>0364</v>
      </c>
      <c r="B21" s="6" t="str">
        <f>IFERROR(__xludf.DUMMYFUNCTION("""COMPUTED_VALUE"""),"Healing room kirari*plus")</f>
        <v>Healing room kirari*plus</v>
      </c>
      <c r="C21" s="7" t="str">
        <f>IFERROR(__xludf.DUMMYFUNCTION("""COMPUTED_VALUE"""),"https://site-1745061-8471-6198.mystrikingly.com/")</f>
        <v>https://site-1745061-8471-6198.mystrikingly.com/</v>
      </c>
      <c r="D21" s="6" t="str">
        <f>IFERROR(__xludf.DUMMYFUNCTION("""COMPUTED_VALUE"""),"△")</f>
        <v>△</v>
      </c>
      <c r="E21" s="6" t="str">
        <f>IFERROR(__xludf.DUMMYFUNCTION("""COMPUTED_VALUE"""),"Strikinglyで簡易的")</f>
        <v>Strikinglyで簡易的</v>
      </c>
      <c r="F21" s="8" t="s">
        <v>190</v>
      </c>
    </row>
    <row r="22">
      <c r="A22" s="6" t="str">
        <f t="shared" si="1"/>
        <v>0365</v>
      </c>
      <c r="B22" s="6" t="str">
        <f>IFERROR(__xludf.DUMMYFUNCTION("""COMPUTED_VALUE"""),"東京でヒーリングなら心に向き合う7の部屋")</f>
        <v>東京でヒーリングなら心に向き合う7の部屋</v>
      </c>
      <c r="C22" s="7" t="str">
        <f>IFERROR(__xludf.DUMMYFUNCTION("""COMPUTED_VALUE"""),"https://7room-mms.com/")</f>
        <v>https://7room-mms.com/</v>
      </c>
      <c r="D22" s="6" t="str">
        <f>IFERROR(__xludf.DUMMYFUNCTION("""COMPUTED_VALUE"""),"△")</f>
        <v>△</v>
      </c>
      <c r="E22" s="6" t="str">
        <f>IFERROR(__xludf.DUMMYFUNCTION("""COMPUTED_VALUE"""),"情報はあるがデザインが古い")</f>
        <v>情報はあるがデザインが古い</v>
      </c>
      <c r="F22" s="8" t="s">
        <v>191</v>
      </c>
    </row>
    <row r="23">
      <c r="A23" s="6" t="str">
        <f t="shared" si="1"/>
        <v>0366</v>
      </c>
      <c r="B23" s="6" t="str">
        <f>IFERROR(__xludf.DUMMYFUNCTION("""COMPUTED_VALUE"""),"ヒーリング・サロン")</f>
        <v>ヒーリング・サロン</v>
      </c>
      <c r="C23" s="7" t="str">
        <f>IFERROR(__xludf.DUMMYFUNCTION("""COMPUTED_VALUE"""),"https://healing-salon.jimdofree.com/")</f>
        <v>https://healing-salon.jimdofree.com/</v>
      </c>
      <c r="D23" s="6" t="str">
        <f>IFERROR(__xludf.DUMMYFUNCTION("""COMPUTED_VALUE"""),"△")</f>
        <v>△</v>
      </c>
      <c r="E23" s="6" t="str">
        <f>IFERROR(__xludf.DUMMYFUNCTION("""COMPUTED_VALUE"""),"Jimdo無料版でデザイン古い")</f>
        <v>Jimdo無料版でデザイン古い</v>
      </c>
      <c r="F23" s="8" t="s">
        <v>192</v>
      </c>
    </row>
    <row r="24">
      <c r="A24" s="6" t="str">
        <f t="shared" si="1"/>
        <v>0367</v>
      </c>
      <c r="B24" s="6" t="str">
        <f>IFERROR(__xludf.DUMMYFUNCTION("""COMPUTED_VALUE"""),"スピリチュアルサロン Rainbow Prism")</f>
        <v>スピリチュアルサロン Rainbow Prism</v>
      </c>
      <c r="C24" s="7" t="str">
        <f>IFERROR(__xludf.DUMMYFUNCTION("""COMPUTED_VALUE"""),"http://rainbowprism.web.fc2.com/")</f>
        <v>http://rainbowprism.web.fc2.com/</v>
      </c>
      <c r="D24" s="6" t="str">
        <f>IFERROR(__xludf.DUMMYFUNCTION("""COMPUTED_VALUE"""),"△")</f>
        <v>△</v>
      </c>
      <c r="E24" s="6" t="str">
        <f>IFERROR(__xludf.DUMMYFUNCTION("""COMPUTED_VALUE"""),"FC2無料HPで古い")</f>
        <v>FC2無料HPで古い</v>
      </c>
      <c r="F24" s="8" t="s">
        <v>193</v>
      </c>
    </row>
    <row r="25">
      <c r="A25" s="6" t="str">
        <f t="shared" si="1"/>
        <v>0368</v>
      </c>
      <c r="B25" s="6" t="str">
        <f>IFERROR(__xludf.DUMMYFUNCTION("""COMPUTED_VALUE"""),"HinaMana Body &amp; Heart &amp; Awakenig")</f>
        <v>HinaMana Body &amp; Heart &amp; Awakenig</v>
      </c>
      <c r="C25" s="7" t="str">
        <f>IFERROR(__xludf.DUMMYFUNCTION("""COMPUTED_VALUE"""),"https://hinamana.shopinfo.jp/")</f>
        <v>https://hinamana.shopinfo.jp/</v>
      </c>
      <c r="D25" s="6" t="str">
        <f>IFERROR(__xludf.DUMMYFUNCTION("""COMPUTED_VALUE"""),"△")</f>
        <v>△</v>
      </c>
      <c r="E25" s="6" t="str">
        <f>IFERROR(__xludf.DUMMYFUNCTION("""COMPUTED_VALUE"""),"Ameba Owndで簡易的")</f>
        <v>Ameba Owndで簡易的</v>
      </c>
      <c r="F25" s="8" t="s">
        <v>194</v>
      </c>
    </row>
    <row r="26">
      <c r="A26" s="6" t="str">
        <f t="shared" si="1"/>
        <v>0369</v>
      </c>
      <c r="B26" s="1" t="s">
        <v>195</v>
      </c>
      <c r="F26" s="8" t="s">
        <v>196</v>
      </c>
    </row>
    <row r="27">
      <c r="A27" s="6" t="str">
        <f t="shared" si="1"/>
        <v>0370</v>
      </c>
      <c r="B27" s="6" t="str">
        <f>IFERROR(__xludf.DUMMYFUNCTION("QUERY('大田区'!A:D, ""select * where C='△'"", 1)"),"kupukupu")</f>
        <v>kupukupu</v>
      </c>
      <c r="C27" s="7" t="str">
        <f>IFERROR(__xludf.DUMMYFUNCTION("""COMPUTED_VALUE"""),"http://www.psychic-counseling.com/")</f>
        <v>http://www.psychic-counseling.com/</v>
      </c>
      <c r="D27" s="6" t="str">
        <f>IFERROR(__xludf.DUMMYFUNCTION("""COMPUTED_VALUE"""),"△")</f>
        <v>△</v>
      </c>
      <c r="E27" s="6" t="str">
        <f>IFERROR(__xludf.DUMMYFUNCTION("""COMPUTED_VALUE"""),"デザインが古く更新も2021年で停止")</f>
        <v>デザインが古く更新も2021年で停止</v>
      </c>
      <c r="F27" s="8" t="s">
        <v>197</v>
      </c>
    </row>
    <row r="28">
      <c r="A28" s="6" t="str">
        <f t="shared" si="1"/>
        <v>0371</v>
      </c>
      <c r="B28" s="6" t="str">
        <f>IFERROR(__xludf.DUMMYFUNCTION("""COMPUTED_VALUE"""),"Session Room LUNA")</f>
        <v>Session Room LUNA</v>
      </c>
      <c r="C28" s="7" t="str">
        <f>IFERROR(__xludf.DUMMYFUNCTION("""COMPUTED_VALUE"""),"http://luna104.net/")</f>
        <v>http://luna104.net/</v>
      </c>
      <c r="D28" s="6" t="str">
        <f>IFERROR(__xludf.DUMMYFUNCTION("""COMPUTED_VALUE"""),"△")</f>
        <v>△</v>
      </c>
      <c r="E28" s="6" t="str">
        <f>IFERROR(__xludf.DUMMYFUNCTION("""COMPUTED_VALUE"""),"情報量は多いがPC向け旧来デザイン")</f>
        <v>情報量は多いがPC向け旧来デザイン</v>
      </c>
      <c r="F28" s="8" t="s">
        <v>198</v>
      </c>
    </row>
    <row r="29">
      <c r="A29" s="6" t="str">
        <f t="shared" si="1"/>
        <v>0372</v>
      </c>
      <c r="B29" s="6" t="str">
        <f>IFERROR(__xludf.DUMMYFUNCTION("""COMPUTED_VALUE"""),"ケワラ")</f>
        <v>ケワラ</v>
      </c>
      <c r="C29" s="7" t="str">
        <f>IFERROR(__xludf.DUMMYFUNCTION("""COMPUTED_VALUE"""),"https://kewarra-bodyhealing.jimdofree.com/")</f>
        <v>https://kewarra-bodyhealing.jimdofree.com/</v>
      </c>
      <c r="D29" s="6" t="str">
        <f>IFERROR(__xludf.DUMMYFUNCTION("""COMPUTED_VALUE"""),"△")</f>
        <v>△</v>
      </c>
      <c r="E29" s="6" t="str">
        <f>IFERROR(__xludf.DUMMYFUNCTION("""COMPUTED_VALUE"""),"Jimdo無料版で簡易的")</f>
        <v>Jimdo無料版で簡易的</v>
      </c>
      <c r="F29" s="8" t="s">
        <v>199</v>
      </c>
    </row>
    <row r="30">
      <c r="A30" s="6" t="str">
        <f t="shared" si="1"/>
        <v>0373</v>
      </c>
      <c r="B30" s="6" t="str">
        <f>IFERROR(__xludf.DUMMYFUNCTION("""COMPUTED_VALUE"""),"True Colors")</f>
        <v>True Colors</v>
      </c>
      <c r="C30" s="7" t="str">
        <f>IFERROR(__xludf.DUMMYFUNCTION("""COMPUTED_VALUE"""),"https://truecolors-welcome.com/")</f>
        <v>https://truecolors-welcome.com/</v>
      </c>
      <c r="D30" s="6" t="str">
        <f>IFERROR(__xludf.DUMMYFUNCTION("""COMPUTED_VALUE"""),"△")</f>
        <v>△</v>
      </c>
      <c r="E30" s="6" t="str">
        <f>IFERROR(__xludf.DUMMYFUNCTION("""COMPUTED_VALUE"""),"WordPressだがデザイン未整備")</f>
        <v>WordPressだがデザイン未整備</v>
      </c>
      <c r="F30" s="8" t="s">
        <v>200</v>
      </c>
    </row>
    <row r="31">
      <c r="A31" s="6" t="str">
        <f t="shared" si="1"/>
        <v>0374</v>
      </c>
      <c r="B31" s="6" t="str">
        <f>IFERROR(__xludf.DUMMYFUNCTION("""COMPUTED_VALUE"""),"ととのえ屋")</f>
        <v>ととのえ屋</v>
      </c>
      <c r="C31" s="7" t="str">
        <f>IFERROR(__xludf.DUMMYFUNCTION("""COMPUTED_VALUE"""),"https://yuinokante.amebaownd.com/")</f>
        <v>https://yuinokante.amebaownd.com/</v>
      </c>
      <c r="D31" s="6" t="str">
        <f>IFERROR(__xludf.DUMMYFUNCTION("""COMPUTED_VALUE"""),"△")</f>
        <v>△</v>
      </c>
      <c r="E31" s="6" t="str">
        <f>IFERROR(__xludf.DUMMYFUNCTION("""COMPUTED_VALUE"""),"AmebaOwndテンプレそのまま")</f>
        <v>AmebaOwndテンプレそのまま</v>
      </c>
      <c r="F31" s="8" t="s">
        <v>201</v>
      </c>
    </row>
    <row r="32">
      <c r="A32" s="6" t="str">
        <f t="shared" si="1"/>
        <v>0375</v>
      </c>
      <c r="B32" s="6" t="str">
        <f>IFERROR(__xludf.DUMMYFUNCTION("""COMPUTED_VALUE"""),"大瀧プランニング")</f>
        <v>大瀧プランニング</v>
      </c>
      <c r="C32" s="7" t="str">
        <f>IFERROR(__xludf.DUMMYFUNCTION("""COMPUTED_VALUE"""),"https://otakiplanning.net/")</f>
        <v>https://otakiplanning.net/</v>
      </c>
      <c r="D32" s="6" t="str">
        <f>IFERROR(__xludf.DUMMYFUNCTION("""COMPUTED_VALUE"""),"△")</f>
        <v>△</v>
      </c>
      <c r="E32" s="6" t="str">
        <f>IFERROR(__xludf.DUMMYFUNCTION("""COMPUTED_VALUE"""),"デザインが古く情報整理不足")</f>
        <v>デザインが古く情報整理不足</v>
      </c>
      <c r="F32" s="8" t="s">
        <v>202</v>
      </c>
    </row>
    <row r="33">
      <c r="A33" s="6" t="str">
        <f t="shared" si="1"/>
        <v>0376</v>
      </c>
      <c r="B33" s="6" t="str">
        <f>IFERROR(__xludf.DUMMYFUNCTION("""COMPUTED_VALUE"""),"ヒーリングサロンrelux")</f>
        <v>ヒーリングサロンrelux</v>
      </c>
      <c r="C33" s="7" t="str">
        <f>IFERROR(__xludf.DUMMYFUNCTION("""COMPUTED_VALUE"""),"https://www.relux2022.com/")</f>
        <v>https://www.relux2022.com/</v>
      </c>
      <c r="D33" s="6" t="str">
        <f>IFERROR(__xludf.DUMMYFUNCTION("""COMPUTED_VALUE"""),"△")</f>
        <v>△</v>
      </c>
      <c r="E33" s="6" t="str">
        <f>IFERROR(__xludf.DUMMYFUNCTION("""COMPUTED_VALUE"""),"手作り感が強くスマホ対応不十分")</f>
        <v>手作り感が強くスマホ対応不十分</v>
      </c>
      <c r="F33" s="8" t="s">
        <v>203</v>
      </c>
    </row>
    <row r="34">
      <c r="A34" s="6" t="str">
        <f t="shared" si="1"/>
        <v>0377</v>
      </c>
      <c r="B34" s="6" t="str">
        <f>IFERROR(__xludf.DUMMYFUNCTION("""COMPUTED_VALUE"""),"増間由美子の手相見")</f>
        <v>増間由美子の手相見</v>
      </c>
      <c r="C34" s="7" t="str">
        <f>IFERROR(__xludf.DUMMYFUNCTION("""COMPUTED_VALUE"""),"https://masuma-tesou.com/")</f>
        <v>https://masuma-tesou.com/</v>
      </c>
      <c r="D34" s="6" t="str">
        <f>IFERROR(__xludf.DUMMYFUNCTION("""COMPUTED_VALUE"""),"△")</f>
        <v>△</v>
      </c>
      <c r="E34" s="6" t="str">
        <f>IFERROR(__xludf.DUMMYFUNCTION("""COMPUTED_VALUE"""),"非常にシンプルでデザイン性が低い")</f>
        <v>非常にシンプルでデザイン性が低い</v>
      </c>
      <c r="F34" s="8" t="s">
        <v>204</v>
      </c>
    </row>
    <row r="35">
      <c r="A35" s="6" t="str">
        <f t="shared" si="1"/>
        <v>0378</v>
      </c>
      <c r="B35" s="6" t="str">
        <f>IFERROR(__xludf.DUMMYFUNCTION("""COMPUTED_VALUE"""),"タロットと占星学 紫心")</f>
        <v>タロットと占星学 紫心</v>
      </c>
      <c r="C35" s="7" t="str">
        <f>IFERROR(__xludf.DUMMYFUNCTION("""COMPUTED_VALUE"""),"https://shishin-uranai.com/")</f>
        <v>https://shishin-uranai.com/</v>
      </c>
      <c r="D35" s="6" t="str">
        <f>IFERROR(__xludf.DUMMYFUNCTION("""COMPUTED_VALUE"""),"△")</f>
        <v>△</v>
      </c>
      <c r="E35" s="6" t="str">
        <f>IFERROR(__xludf.DUMMYFUNCTION("""COMPUTED_VALUE"""),"更新が少なく一昔前の印象")</f>
        <v>更新が少なく一昔前の印象</v>
      </c>
      <c r="F35" s="8" t="s">
        <v>205</v>
      </c>
    </row>
    <row r="36">
      <c r="A36" s="6" t="str">
        <f t="shared" si="1"/>
        <v>0379</v>
      </c>
      <c r="B36" s="6" t="str">
        <f>IFERROR(__xludf.DUMMYFUNCTION("""COMPUTED_VALUE"""),"占い＆天然石&amp;クリスタルヒーリングサロン 蓮")</f>
        <v>占い＆天然石&amp;クリスタルヒーリングサロン 蓮</v>
      </c>
      <c r="C36" s="7" t="str">
        <f>IFERROR(__xludf.DUMMYFUNCTION("""COMPUTED_VALUE"""),"https://uranai-hasu.com/")</f>
        <v>https://uranai-hasu.com/</v>
      </c>
      <c r="D36" s="6" t="str">
        <f>IFERROR(__xludf.DUMMYFUNCTION("""COMPUTED_VALUE"""),"△")</f>
        <v>△</v>
      </c>
      <c r="E36" s="6" t="str">
        <f>IFERROR(__xludf.DUMMYFUNCTION("""COMPUTED_VALUE"""),"古いデザインでスマホ閲覧しづらい")</f>
        <v>古いデザインでスマホ閲覧しづらい</v>
      </c>
      <c r="F36" s="8" t="s">
        <v>206</v>
      </c>
    </row>
    <row r="37">
      <c r="A37" s="6" t="str">
        <f t="shared" si="1"/>
        <v>0380</v>
      </c>
      <c r="B37" s="6" t="str">
        <f>IFERROR(__xludf.DUMMYFUNCTION("""COMPUTED_VALUE"""),"スピリチュアルカウンセリング 陽")</f>
        <v>スピリチュアルカウンセリング 陽</v>
      </c>
      <c r="C37" s="7" t="str">
        <f>IFERROR(__xludf.DUMMYFUNCTION("""COMPUTED_VALUE"""),"https://hizuki.net/")</f>
        <v>https://hizuki.net/</v>
      </c>
      <c r="D37" s="6" t="str">
        <f>IFERROR(__xludf.DUMMYFUNCTION("""COMPUTED_VALUE"""),"△")</f>
        <v>△</v>
      </c>
      <c r="E37" s="6" t="str">
        <f>IFERROR(__xludf.DUMMYFUNCTION("""COMPUTED_VALUE"""),"無料ブログ風で信頼性が弱い")</f>
        <v>無料ブログ風で信頼性が弱い</v>
      </c>
      <c r="F37" s="8" t="s">
        <v>207</v>
      </c>
    </row>
    <row r="38">
      <c r="A38" s="6" t="str">
        <f t="shared" si="1"/>
        <v>0381</v>
      </c>
      <c r="B38" s="6" t="str">
        <f>IFERROR(__xludf.DUMMYFUNCTION("""COMPUTED_VALUE"""),"ヒーリングサロン 癒しの風")</f>
        <v>ヒーリングサロン 癒しの風</v>
      </c>
      <c r="C38" s="7" t="str">
        <f>IFERROR(__xludf.DUMMYFUNCTION("""COMPUTED_VALUE"""),"https://www.foomi.jp/")</f>
        <v>https://www.foomi.jp/</v>
      </c>
      <c r="D38" s="6" t="str">
        <f>IFERROR(__xludf.DUMMYFUNCTION("""COMPUTED_VALUE"""),"△")</f>
        <v>△</v>
      </c>
      <c r="E38" s="6" t="str">
        <f>IFERROR(__xludf.DUMMYFUNCTION("""COMPUTED_VALUE"""),"導線が悪く未整備")</f>
        <v>導線が悪く未整備</v>
      </c>
      <c r="F38" s="8" t="s">
        <v>208</v>
      </c>
    </row>
    <row r="39">
      <c r="A39" s="6" t="str">
        <f t="shared" si="1"/>
        <v>0382</v>
      </c>
      <c r="B39" s="6" t="str">
        <f>IFERROR(__xludf.DUMMYFUNCTION("""COMPUTED_VALUE"""),"大田区の占い師 結衣")</f>
        <v>大田区の占い師 結衣</v>
      </c>
      <c r="C39" s="7" t="str">
        <f>IFERROR(__xludf.DUMMYFUNCTION("""COMPUTED_VALUE"""),"https://yui-uranai.jp/")</f>
        <v>https://yui-uranai.jp/</v>
      </c>
      <c r="D39" s="6" t="str">
        <f>IFERROR(__xludf.DUMMYFUNCTION("""COMPUTED_VALUE"""),"△")</f>
        <v>△</v>
      </c>
      <c r="E39" s="6" t="str">
        <f>IFERROR(__xludf.DUMMYFUNCTION("""COMPUTED_VALUE"""),"1ページ構成で情報量不足")</f>
        <v>1ページ構成で情報量不足</v>
      </c>
      <c r="F39" s="8" t="s">
        <v>209</v>
      </c>
    </row>
    <row r="40">
      <c r="A40" s="6" t="str">
        <f t="shared" si="1"/>
        <v>0383</v>
      </c>
      <c r="B40" s="6" t="str">
        <f>IFERROR(__xludf.DUMMYFUNCTION("""COMPUTED_VALUE"""),"蒲田の母")</f>
        <v>蒲田の母</v>
      </c>
      <c r="C40" s="7" t="str">
        <f>IFERROR(__xludf.DUMMYFUNCTION("""COMPUTED_VALUE"""),"https://coconala.com/users/1885651")</f>
        <v>https://coconala.com/users/1885651</v>
      </c>
      <c r="D40" s="6" t="str">
        <f>IFERROR(__xludf.DUMMYFUNCTION("""COMPUTED_VALUE"""),"△")</f>
        <v>△</v>
      </c>
      <c r="E40" s="6" t="str">
        <f>IFERROR(__xludf.DUMMYFUNCTION("""COMPUTED_VALUE"""),"古風すぎて若年層訴求が弱い")</f>
        <v>古風すぎて若年層訴求が弱い</v>
      </c>
      <c r="F40" s="8" t="s">
        <v>210</v>
      </c>
    </row>
    <row r="41">
      <c r="A41" s="6" t="str">
        <f t="shared" si="1"/>
        <v>0384</v>
      </c>
      <c r="B41" s="6" t="str">
        <f>IFERROR(__xludf.DUMMYFUNCTION("""COMPUTED_VALUE"""),"ヒーリングスペース 奏")</f>
        <v>ヒーリングスペース 奏</v>
      </c>
      <c r="C41" s="7" t="str">
        <f>IFERROR(__xludf.DUMMYFUNCTION("""COMPUTED_VALUE"""),"https://kanade-healing.com/")</f>
        <v>https://kanade-healing.com/</v>
      </c>
      <c r="D41" s="6" t="str">
        <f>IFERROR(__xludf.DUMMYFUNCTION("""COMPUTED_VALUE"""),"△")</f>
        <v>△</v>
      </c>
      <c r="E41" s="6" t="str">
        <f>IFERROR(__xludf.DUMMYFUNCTION("""COMPUTED_VALUE"""),"画像が粗く素人感が強い")</f>
        <v>画像が粗く素人感が強い</v>
      </c>
      <c r="F41" s="8" t="s">
        <v>211</v>
      </c>
    </row>
    <row r="42">
      <c r="A42" s="6" t="str">
        <f t="shared" si="1"/>
        <v>0385</v>
      </c>
      <c r="B42" s="6" t="str">
        <f>IFERROR(__xludf.DUMMYFUNCTION("""COMPUTED_VALUE"""),"アロマ＆ヒーリング 虹の橋")</f>
        <v>アロマ＆ヒーリング 虹の橋</v>
      </c>
      <c r="C42" s="7" t="str">
        <f>IFERROR(__xludf.DUMMYFUNCTION("""COMPUTED_VALUE"""),"https://nijinohashi-ota.com/")</f>
        <v>https://nijinohashi-ota.com/</v>
      </c>
      <c r="D42" s="6" t="str">
        <f>IFERROR(__xludf.DUMMYFUNCTION("""COMPUTED_VALUE"""),"△")</f>
        <v>△</v>
      </c>
      <c r="E42" s="6" t="str">
        <f>IFERROR(__xludf.DUMMYFUNCTION("""COMPUTED_VALUE"""),"数年前で更新停止")</f>
        <v>数年前で更新停止</v>
      </c>
      <c r="F42" s="8" t="s">
        <v>212</v>
      </c>
    </row>
    <row r="43">
      <c r="A43" s="6" t="str">
        <f t="shared" si="1"/>
        <v>0386</v>
      </c>
      <c r="B43" s="6" t="str">
        <f>IFERROR(__xludf.DUMMYFUNCTION("""COMPUTED_VALUE"""),"大田区スピリチュアル 慈愛")</f>
        <v>大田区スピリチュアル 慈愛</v>
      </c>
      <c r="C43" s="7" t="str">
        <f>IFERROR(__xludf.DUMMYFUNCTION("""COMPUTED_VALUE"""),"https://jiai-ota.com/")</f>
        <v>https://jiai-ota.com/</v>
      </c>
      <c r="D43" s="6" t="str">
        <f>IFERROR(__xludf.DUMMYFUNCTION("""COMPUTED_VALUE"""),"△")</f>
        <v>△</v>
      </c>
      <c r="E43" s="6" t="str">
        <f>IFERROR(__xludf.DUMMYFUNCTION("""COMPUTED_VALUE"""),"文字が小さく旧世代構成")</f>
        <v>文字が小さく旧世代構成</v>
      </c>
      <c r="F43" s="8" t="s">
        <v>213</v>
      </c>
    </row>
    <row r="44">
      <c r="A44" s="6" t="str">
        <f t="shared" si="1"/>
        <v>0387</v>
      </c>
      <c r="B44" s="6" t="str">
        <f>IFERROR(__xludf.DUMMYFUNCTION("""COMPUTED_VALUE"""),"タロット占い 運命の輪")</f>
        <v>タロット占い 運命の輪</v>
      </c>
      <c r="C44" s="7" t="str">
        <f>IFERROR(__xludf.DUMMYFUNCTION("""COMPUTED_VALUE"""),"https://unmeinowa-ota.com/")</f>
        <v>https://unmeinowa-ota.com/</v>
      </c>
      <c r="D44" s="6" t="str">
        <f>IFERROR(__xludf.DUMMYFUNCTION("""COMPUTED_VALUE"""),"△")</f>
        <v>△</v>
      </c>
      <c r="E44" s="6" t="str">
        <f>IFERROR(__xludf.DUMMYFUNCTION("""COMPUTED_VALUE"""),"テンプレ使用で独自性なし")</f>
        <v>テンプレ使用で独自性なし</v>
      </c>
      <c r="F44" s="8" t="s">
        <v>214</v>
      </c>
    </row>
    <row r="45">
      <c r="A45" s="6" t="str">
        <f t="shared" si="1"/>
        <v>0388</v>
      </c>
      <c r="B45" s="6" t="str">
        <f>IFERROR(__xludf.DUMMYFUNCTION("""COMPUTED_VALUE"""),"ヒーリングサロン 光の道")</f>
        <v>ヒーリングサロン 光の道</v>
      </c>
      <c r="C45" s="7" t="str">
        <f>IFERROR(__xludf.DUMMYFUNCTION("""COMPUTED_VALUE"""),"https://hikarinomichi.jp/")</f>
        <v>https://hikarinomichi.jp/</v>
      </c>
      <c r="D45" s="6" t="str">
        <f>IFERROR(__xludf.DUMMYFUNCTION("""COMPUTED_VALUE"""),"△")</f>
        <v>△</v>
      </c>
      <c r="E45" s="6" t="str">
        <f>IFERROR(__xludf.DUMMYFUNCTION("""COMPUTED_VALUE"""),"SSL未対応で不安")</f>
        <v>SSL未対応で不安</v>
      </c>
      <c r="F45" s="8" t="s">
        <v>215</v>
      </c>
    </row>
    <row r="46">
      <c r="A46" s="6" t="str">
        <f t="shared" si="1"/>
        <v>0389</v>
      </c>
      <c r="B46" s="6" t="str">
        <f>IFERROR(__xludf.DUMMYFUNCTION("""COMPUTED_VALUE"""),"大田区 癒しの杜")</f>
        <v>大田区 癒しの杜</v>
      </c>
      <c r="C46" s="7" t="str">
        <f>IFERROR(__xludf.DUMMYFUNCTION("""COMPUTED_VALUE"""),"https://iyashinomori-ota.jp/")</f>
        <v>https://iyashinomori-ota.jp/</v>
      </c>
      <c r="D46" s="6" t="str">
        <f>IFERROR(__xludf.DUMMYFUNCTION("""COMPUTED_VALUE"""),"△")</f>
        <v>△</v>
      </c>
      <c r="E46" s="6" t="str">
        <f>IFERROR(__xludf.DUMMYFUNCTION("""COMPUTED_VALUE"""),"スマホ対応不完全")</f>
        <v>スマホ対応不完全</v>
      </c>
      <c r="F46" s="8" t="s">
        <v>216</v>
      </c>
    </row>
    <row r="47">
      <c r="A47" s="6" t="str">
        <f t="shared" si="1"/>
        <v>0390</v>
      </c>
      <c r="B47" s="6" t="str">
        <f>IFERROR(__xludf.DUMMYFUNCTION("""COMPUTED_VALUE"""),"スピリチュアル鑑定 絆")</f>
        <v>スピリチュアル鑑定 絆</v>
      </c>
      <c r="C47" s="7" t="str">
        <f>IFERROR(__xludf.DUMMYFUNCTION("""COMPUTED_VALUE"""),"https://kizuna3.com/")</f>
        <v>https://kizuna3.com/</v>
      </c>
      <c r="D47" s="6" t="str">
        <f>IFERROR(__xludf.DUMMYFUNCTION("""COMPUTED_VALUE"""),"△")</f>
        <v>△</v>
      </c>
      <c r="E47" s="6" t="str">
        <f>IFERROR(__xludf.DUMMYFUNCTION("""COMPUTED_VALUE"""),"地味なデザインで引きが弱い")</f>
        <v>地味なデザインで引きが弱い</v>
      </c>
      <c r="F47" s="8" t="s">
        <v>217</v>
      </c>
    </row>
    <row r="48">
      <c r="A48" s="6" t="str">
        <f t="shared" si="1"/>
        <v>0391</v>
      </c>
      <c r="B48" s="6" t="str">
        <f>IFERROR(__xludf.DUMMYFUNCTION("""COMPUTED_VALUE"""),"ワジョリーナ")</f>
        <v>ワジョリーナ</v>
      </c>
      <c r="C48" s="7" t="str">
        <f>IFERROR(__xludf.DUMMYFUNCTION("""COMPUTED_VALUE"""),"http://wajo.cocolog-nifty.com/")</f>
        <v>http://wajo.cocolog-nifty.com/</v>
      </c>
      <c r="D48" s="6" t="str">
        <f>IFERROR(__xludf.DUMMYFUNCTION("""COMPUTED_VALUE"""),"△")</f>
        <v>△</v>
      </c>
      <c r="E48" s="6" t="str">
        <f>IFERROR(__xludf.DUMMYFUNCTION("""COMPUTED_VALUE"""),"手作り感のある古いデザインでスマホ対応不十分")</f>
        <v>手作り感のある古いデザインでスマホ対応不十分</v>
      </c>
      <c r="F48" s="8" t="s">
        <v>218</v>
      </c>
    </row>
    <row r="49">
      <c r="A49" s="6" t="str">
        <f t="shared" si="1"/>
        <v>0392</v>
      </c>
      <c r="B49" s="6" t="str">
        <f>IFERROR(__xludf.DUMMYFUNCTION("""COMPUTED_VALUE"""),"占い師 響子")</f>
        <v>占い師 響子</v>
      </c>
      <c r="C49" s="7" t="str">
        <f>IFERROR(__xludf.DUMMYFUNCTION("""COMPUTED_VALUE"""),"https://reserva.be/kyokotarot")</f>
        <v>https://reserva.be/kyokotarot</v>
      </c>
      <c r="D49" s="6" t="str">
        <f>IFERROR(__xludf.DUMMYFUNCTION("""COMPUTED_VALUE"""),"△")</f>
        <v>△</v>
      </c>
      <c r="E49" s="6" t="str">
        <f>IFERROR(__xludf.DUMMYFUNCTION("""COMPUTED_VALUE"""),"シンプルすぎて営業的訴求力が弱い")</f>
        <v>シンプルすぎて営業的訴求力が弱い</v>
      </c>
      <c r="F49" s="8" t="s">
        <v>219</v>
      </c>
    </row>
    <row r="50">
      <c r="A50" s="6" t="str">
        <f t="shared" si="1"/>
        <v>0393</v>
      </c>
      <c r="B50" s="6" t="str">
        <f>IFERROR(__xludf.DUMMYFUNCTION("""COMPUTED_VALUE"""),"ハッピー四柱推命")</f>
        <v>ハッピー四柱推命</v>
      </c>
      <c r="C50" s="7" t="str">
        <f>IFERROR(__xludf.DUMMYFUNCTION("""COMPUTED_VALUE"""),"https://happy-fortune.com/")</f>
        <v>https://happy-fortune.com/</v>
      </c>
      <c r="D50" s="6" t="str">
        <f>IFERROR(__xludf.DUMMYFUNCTION("""COMPUTED_VALUE"""),"△")</f>
        <v>△</v>
      </c>
      <c r="E50" s="6" t="str">
        <f>IFERROR(__xludf.DUMMYFUNCTION("""COMPUTED_VALUE"""),"更新停止でデザインが古い")</f>
        <v>更新停止でデザインが古い</v>
      </c>
      <c r="F50" s="8" t="s">
        <v>220</v>
      </c>
    </row>
    <row r="51">
      <c r="A51" s="6" t="str">
        <f t="shared" si="1"/>
        <v>0394</v>
      </c>
      <c r="B51" s="6" t="str">
        <f>IFERROR(__xludf.DUMMYFUNCTION("""COMPUTED_VALUE"""),"ヒーリングサロン空")</f>
        <v>ヒーリングサロン空</v>
      </c>
      <c r="C51" s="7" t="str">
        <f>IFERROR(__xludf.DUMMYFUNCTION("""COMPUTED_VALUE"""),"https://www.s-healing.com/")</f>
        <v>https://www.s-healing.com/</v>
      </c>
      <c r="D51" s="6" t="str">
        <f>IFERROR(__xludf.DUMMYFUNCTION("""COMPUTED_VALUE"""),"△")</f>
        <v>△</v>
      </c>
      <c r="E51" s="6" t="str">
        <f>IFERROR(__xludf.DUMMYFUNCTION("""COMPUTED_VALUE"""),"無料テンプレートのままで信頼性が低い")</f>
        <v>無料テンプレートのままで信頼性が低い</v>
      </c>
      <c r="F51" s="8" t="s">
        <v>221</v>
      </c>
    </row>
    <row r="52">
      <c r="A52" s="6" t="str">
        <f t="shared" si="1"/>
        <v>0395</v>
      </c>
      <c r="B52" s="6" t="str">
        <f>IFERROR(__xludf.DUMMYFUNCTION("""COMPUTED_VALUE"""),"スピリチュアル光")</f>
        <v>スピリチュアル光</v>
      </c>
      <c r="C52" s="7" t="str">
        <f>IFERROR(__xludf.DUMMYFUNCTION("""COMPUTED_VALUE"""),"https://spiritually.jp")</f>
        <v>https://spiritually.jp</v>
      </c>
      <c r="D52" s="6" t="str">
        <f>IFERROR(__xludf.DUMMYFUNCTION("""COMPUTED_VALUE"""),"△")</f>
        <v>△</v>
      </c>
      <c r="E52" s="6" t="str">
        <f>IFERROR(__xludf.DUMMYFUNCTION("""COMPUTED_VALUE"""),"文字が多く読みづらい旧世代構成")</f>
        <v>文字が多く読みづらい旧世代構成</v>
      </c>
      <c r="F52" s="8" t="s">
        <v>222</v>
      </c>
    </row>
    <row r="53">
      <c r="A53" s="6" t="str">
        <f t="shared" si="1"/>
        <v>0396</v>
      </c>
      <c r="B53" s="6" t="str">
        <f>IFERROR(__xludf.DUMMYFUNCTION("""COMPUTED_VALUE"""),"占い 恵")</f>
        <v>占い 恵</v>
      </c>
      <c r="C53" s="7" t="str">
        <f>IFERROR(__xludf.DUMMYFUNCTION("""COMPUTED_VALUE"""),"https://www.facebook.com/megumi.uranai/")</f>
        <v>https://www.facebook.com/megumi.uranai/</v>
      </c>
      <c r="D53" s="6" t="str">
        <f>IFERROR(__xludf.DUMMYFUNCTION("""COMPUTED_VALUE"""),"△")</f>
        <v>△</v>
      </c>
      <c r="E53" s="6" t="str">
        <f>IFERROR(__xludf.DUMMYFUNCTION("""COMPUTED_VALUE"""),"非常に地味で集客力が弱い")</f>
        <v>非常に地味で集客力が弱い</v>
      </c>
      <c r="F53" s="8" t="s">
        <v>223</v>
      </c>
    </row>
    <row r="54">
      <c r="A54" s="6" t="str">
        <f t="shared" si="1"/>
        <v>0397</v>
      </c>
      <c r="B54" s="6" t="str">
        <f>IFERROR(__xludf.DUMMYFUNCTION("""COMPUTED_VALUE"""),"ヒーリング和")</f>
        <v>ヒーリング和</v>
      </c>
      <c r="C54" s="7" t="str">
        <f>IFERROR(__xludf.DUMMYFUNCTION("""COMPUTED_VALUE"""),"https://www.ouchiseitai.net/syuzai/nagomi-salon/")</f>
        <v>https://www.ouchiseitai.net/syuzai/nagomi-salon/</v>
      </c>
      <c r="D54" s="6" t="str">
        <f>IFERROR(__xludf.DUMMYFUNCTION("""COMPUTED_VALUE"""),"△")</f>
        <v>△</v>
      </c>
      <c r="E54" s="6" t="str">
        <f>IFERROR(__xludf.DUMMYFUNCTION("""COMPUTED_VALUE"""),"画像が粗く素人感が強い")</f>
        <v>画像が粗く素人感が強い</v>
      </c>
      <c r="F54" s="8" t="s">
        <v>224</v>
      </c>
    </row>
    <row r="55">
      <c r="A55" s="6" t="str">
        <f t="shared" si="1"/>
        <v>0398</v>
      </c>
      <c r="B55" s="6" t="str">
        <f>IFERROR(__xludf.DUMMYFUNCTION("""COMPUTED_VALUE"""),"スピリチュアル心")</f>
        <v>スピリチュアル心</v>
      </c>
      <c r="C55" s="7" t="str">
        <f>IFERROR(__xludf.DUMMYFUNCTION("""COMPUTED_VALUE"""),"https://azulealea.simdif.com")</f>
        <v>https://azulealea.simdif.com</v>
      </c>
      <c r="D55" s="6" t="str">
        <f>IFERROR(__xludf.DUMMYFUNCTION("""COMPUTED_VALUE"""),"△")</f>
        <v>△</v>
      </c>
      <c r="E55" s="6" t="str">
        <f>IFERROR(__xludf.DUMMYFUNCTION("""COMPUTED_VALUE"""),"数年前から更新が止まっている")</f>
        <v>数年前から更新が止まっている</v>
      </c>
      <c r="F55" s="8" t="s">
        <v>225</v>
      </c>
    </row>
    <row r="56">
      <c r="A56" s="6" t="str">
        <f t="shared" si="1"/>
        <v>0399</v>
      </c>
      <c r="B56" s="6" t="str">
        <f>IFERROR(__xludf.DUMMYFUNCTION("""COMPUTED_VALUE"""),"占い つむぎ")</f>
        <v>占い つむぎ</v>
      </c>
      <c r="C56" s="7" t="str">
        <f>IFERROR(__xludf.DUMMYFUNCTION("""COMPUTED_VALUE"""),"https://www.instagram.com/tsumugi_cyo/")</f>
        <v>https://www.instagram.com/tsumugi_cyo/</v>
      </c>
      <c r="D56" s="6" t="str">
        <f>IFERROR(__xludf.DUMMYFUNCTION("""COMPUTED_VALUE"""),"△")</f>
        <v>△</v>
      </c>
      <c r="E56" s="6" t="str">
        <f>IFERROR(__xludf.DUMMYFUNCTION("""COMPUTED_VALUE"""),"1ページ構成で情報量が少ない")</f>
        <v>1ページ構成で情報量が少ない</v>
      </c>
      <c r="F56" s="8" t="s">
        <v>226</v>
      </c>
    </row>
    <row r="57">
      <c r="A57" s="6" t="str">
        <f t="shared" si="1"/>
        <v>0400</v>
      </c>
      <c r="B57" s="6" t="str">
        <f>IFERROR(__xludf.DUMMYFUNCTION("""COMPUTED_VALUE"""),"ヒーリング灯")</f>
        <v>ヒーリング灯</v>
      </c>
      <c r="C57" s="6"/>
      <c r="D57" s="6" t="str">
        <f>IFERROR(__xludf.DUMMYFUNCTION("""COMPUTED_VALUE"""),"△")</f>
        <v>△</v>
      </c>
      <c r="E57" s="6" t="str">
        <f>IFERROR(__xludf.DUMMYFUNCTION("""COMPUTED_VALUE"""),"未整備で導線が悪い")</f>
        <v>未整備で導線が悪い</v>
      </c>
      <c r="F57" s="4"/>
    </row>
    <row r="58">
      <c r="A58" s="6" t="str">
        <f t="shared" si="1"/>
        <v>0401</v>
      </c>
      <c r="B58" s="6" t="str">
        <f>IFERROR(__xludf.DUMMYFUNCTION("""COMPUTED_VALUE"""),"スピリチュアル雫")</f>
        <v>スピリチュアル雫</v>
      </c>
      <c r="C58" s="6"/>
      <c r="D58" s="6" t="str">
        <f>IFERROR(__xludf.DUMMYFUNCTION("""COMPUTED_VALUE"""),"△")</f>
        <v>△</v>
      </c>
      <c r="E58" s="6" t="str">
        <f>IFERROR(__xludf.DUMMYFUNCTION("""COMPUTED_VALUE"""),"SSL未対応でセキュリティ不安")</f>
        <v>SSL未対応でセキュリティ不安</v>
      </c>
      <c r="F58" s="5"/>
    </row>
    <row r="59">
      <c r="A59" s="6" t="str">
        <f t="shared" si="1"/>
        <v>0402</v>
      </c>
      <c r="B59" s="6" t="str">
        <f>IFERROR(__xludf.DUMMYFUNCTION("""COMPUTED_VALUE"""),"占い 結び")</f>
        <v>占い 結び</v>
      </c>
      <c r="C59" s="6"/>
      <c r="D59" s="6" t="str">
        <f>IFERROR(__xludf.DUMMYFUNCTION("""COMPUTED_VALUE"""),"△")</f>
        <v>△</v>
      </c>
      <c r="E59" s="6" t="str">
        <f>IFERROR(__xludf.DUMMYFUNCTION("""COMPUTED_VALUE"""),"テンプレそのままで独自性がない")</f>
        <v>テンプレそのままで独自性がない</v>
      </c>
    </row>
    <row r="60">
      <c r="A60" s="6" t="str">
        <f t="shared" si="1"/>
        <v>0403</v>
      </c>
      <c r="B60" s="6" t="str">
        <f>IFERROR(__xludf.DUMMYFUNCTION("""COMPUTED_VALUE"""),"ヒーリング縁")</f>
        <v>ヒーリング縁</v>
      </c>
      <c r="C60" s="7" t="str">
        <f>IFERROR(__xludf.DUMMYFUNCTION("""COMPUTED_VALUE"""),"https://f74w5.hp.peraichi.com/")</f>
        <v>https://f74w5.hp.peraichi.com/</v>
      </c>
      <c r="D60" s="6" t="str">
        <f>IFERROR(__xludf.DUMMYFUNCTION("""COMPUTED_VALUE"""),"△")</f>
        <v>△</v>
      </c>
      <c r="E60" s="6" t="str">
        <f>IFERROR(__xludf.DUMMYFUNCTION("""COMPUTED_VALUE"""),"スマホ対応不完全でレイアウト崩れ")</f>
        <v>スマホ対応不完全でレイアウト崩れ</v>
      </c>
    </row>
    <row r="61">
      <c r="A61" s="6" t="str">
        <f t="shared" si="1"/>
        <v>0404</v>
      </c>
      <c r="B61" s="6" t="str">
        <f>IFERROR(__xludf.DUMMYFUNCTION("""COMPUTED_VALUE"""),"スピリチュアル凛")</f>
        <v>スピリチュアル凛</v>
      </c>
      <c r="C61" s="6"/>
      <c r="D61" s="6" t="str">
        <f>IFERROR(__xludf.DUMMYFUNCTION("""COMPUTED_VALUE"""),"△")</f>
        <v>△</v>
      </c>
      <c r="E61" s="6" t="str">
        <f>IFERROR(__xludf.DUMMYFUNCTION("""COMPUTED_VALUE"""),"古風すぎて若年層訴求が弱い")</f>
        <v>古風すぎて若年層訴求が弱い</v>
      </c>
    </row>
    <row r="62">
      <c r="A62" s="6" t="str">
        <f t="shared" si="1"/>
        <v>0405</v>
      </c>
      <c r="B62" s="6" t="str">
        <f>IFERROR(__xludf.DUMMYFUNCTION("""COMPUTED_VALUE"""),"占い 楓")</f>
        <v>占い 楓</v>
      </c>
      <c r="C62" s="7" t="str">
        <f>IFERROR(__xludf.DUMMYFUNCTION("""COMPUTED_VALUE"""),"https://kaedean.com/")</f>
        <v>https://kaedean.com/</v>
      </c>
      <c r="D62" s="6" t="str">
        <f>IFERROR(__xludf.DUMMYFUNCTION("""COMPUTED_VALUE"""),"△")</f>
        <v>△</v>
      </c>
      <c r="E62" s="6" t="str">
        <f>IFERROR(__xludf.DUMMYFUNCTION("""COMPUTED_VALUE"""),"更新が少なく一昔前の印象")</f>
        <v>更新が少なく一昔前の印象</v>
      </c>
    </row>
    <row r="63">
      <c r="A63" s="6" t="str">
        <f t="shared" si="1"/>
        <v>0406</v>
      </c>
      <c r="B63" s="6" t="str">
        <f>IFERROR(__xludf.DUMMYFUNCTION("""COMPUTED_VALUE"""),"ヒーリング蕾")</f>
        <v>ヒーリング蕾</v>
      </c>
      <c r="C63" s="6"/>
      <c r="D63" s="6" t="str">
        <f>IFERROR(__xludf.DUMMYFUNCTION("""COMPUTED_VALUE"""),"△")</f>
        <v>△</v>
      </c>
      <c r="E63" s="6" t="str">
        <f>IFERROR(__xludf.DUMMYFUNCTION("""COMPUTED_VALUE"""),"無料ブログ風で信頼性が低い")</f>
        <v>無料ブログ風で信頼性が低い</v>
      </c>
    </row>
    <row r="64">
      <c r="A64" s="6" t="str">
        <f t="shared" si="1"/>
        <v>0407</v>
      </c>
      <c r="B64" s="6" t="str">
        <f>IFERROR(__xludf.DUMMYFUNCTION("""COMPUTED_VALUE"""),"スピリチュアル華")</f>
        <v>スピリチュアル華</v>
      </c>
      <c r="C64" s="7" t="str">
        <f>IFERROR(__xludf.DUMMYFUNCTION("""COMPUTED_VALUE"""),"http://www.kaiuns.com")</f>
        <v>http://www.kaiuns.com</v>
      </c>
      <c r="D64" s="6" t="str">
        <f>IFERROR(__xludf.DUMMYFUNCTION("""COMPUTED_VALUE"""),"△")</f>
        <v>△</v>
      </c>
      <c r="E64" s="6" t="str">
        <f>IFERROR(__xludf.DUMMYFUNCTION("""COMPUTED_VALUE"""),"非常にシンプルでデザイン性が低い")</f>
        <v>非常にシンプルでデザイン性が低い</v>
      </c>
    </row>
    <row r="65">
      <c r="A65" s="6" t="str">
        <f t="shared" si="1"/>
        <v>0408</v>
      </c>
      <c r="B65" s="6" t="str">
        <f>IFERROR(__xludf.DUMMYFUNCTION("""COMPUTED_VALUE"""),"占い つむぎ")</f>
        <v>占い つむぎ</v>
      </c>
      <c r="C65" s="6"/>
      <c r="D65" s="6" t="str">
        <f>IFERROR(__xludf.DUMMYFUNCTION("""COMPUTED_VALUE"""),"△")</f>
        <v>△</v>
      </c>
      <c r="E65" s="6" t="str">
        <f>IFERROR(__xludf.DUMMYFUNCTION("""COMPUTED_VALUE"""),"更新停止で活気がない")</f>
        <v>更新停止で活気がない</v>
      </c>
    </row>
    <row r="66">
      <c r="A66" s="6" t="str">
        <f t="shared" si="1"/>
        <v>0409</v>
      </c>
      <c r="B66" s="6" t="str">
        <f>IFERROR(__xludf.DUMMYFUNCTION("""COMPUTED_VALUE"""),"ヒーリング 奏")</f>
        <v>ヒーリング 奏</v>
      </c>
      <c r="C66" s="6"/>
      <c r="D66" s="6" t="str">
        <f>IFERROR(__xludf.DUMMYFUNCTION("""COMPUTED_VALUE"""),"△")</f>
        <v>△</v>
      </c>
      <c r="E66" s="6" t="str">
        <f>IFERROR(__xludf.DUMMYFUNCTION("""COMPUTED_VALUE"""),"画像が粗く素人感が強い")</f>
        <v>画像が粗く素人感が強い</v>
      </c>
    </row>
    <row r="67">
      <c r="A67" s="6" t="str">
        <f t="shared" si="1"/>
        <v>0410</v>
      </c>
      <c r="B67" s="6" t="str">
        <f>IFERROR(__xludf.DUMMYFUNCTION("""COMPUTED_VALUE"""),"スピリチュアル 絆")</f>
        <v>スピリチュアル 絆</v>
      </c>
      <c r="C67" s="6"/>
      <c r="D67" s="6" t="str">
        <f>IFERROR(__xludf.DUMMYFUNCTION("""COMPUTED_VALUE"""),"△")</f>
        <v>△</v>
      </c>
      <c r="E67" s="6" t="str">
        <f>IFERROR(__xludf.DUMMYFUNCTION("""COMPUTED_VALUE"""),"未整備で導線が悪い")</f>
        <v>未整備で導線が悪い</v>
      </c>
    </row>
    <row r="68">
      <c r="A68" s="6" t="str">
        <f t="shared" si="1"/>
        <v>0411</v>
      </c>
      <c r="B68" s="6" t="str">
        <f>IFERROR(__xludf.DUMMYFUNCTION("""COMPUTED_VALUE"""),"占い 希")</f>
        <v>占い 希</v>
      </c>
      <c r="C68" s="6"/>
      <c r="D68" s="6" t="str">
        <f>IFERROR(__xludf.DUMMYFUNCTION("""COMPUTED_VALUE"""),"△")</f>
        <v>△</v>
      </c>
      <c r="E68" s="6" t="str">
        <f>IFERROR(__xludf.DUMMYFUNCTION("""COMPUTED_VALUE"""),"1ページ構成で情報量が少ない")</f>
        <v>1ページ構成で情報量が少ない</v>
      </c>
    </row>
    <row r="69">
      <c r="A69" s="6" t="str">
        <f t="shared" si="1"/>
        <v>0412</v>
      </c>
      <c r="B69" s="6" t="str">
        <f>IFERROR(__xludf.DUMMYFUNCTION("""COMPUTED_VALUE"""),"ヒーリング 凪")</f>
        <v>ヒーリング 凪</v>
      </c>
      <c r="C69" s="6"/>
      <c r="D69" s="6" t="str">
        <f>IFERROR(__xludf.DUMMYFUNCTION("""COMPUTED_VALUE"""),"△")</f>
        <v>△</v>
      </c>
      <c r="E69" s="6" t="str">
        <f>IFERROR(__xludf.DUMMYFUNCTION("""COMPUTED_VALUE"""),"古風すぎて若年層訴求が弱い")</f>
        <v>古風すぎて若年層訴求が弱い</v>
      </c>
    </row>
    <row r="70">
      <c r="A70" s="6" t="str">
        <f t="shared" si="1"/>
        <v>0413</v>
      </c>
      <c r="B70" s="6" t="str">
        <f>IFERROR(__xludf.DUMMYFUNCTION("""COMPUTED_VALUE"""),"スピリチュアル 澪")</f>
        <v>スピリチュアル 澪</v>
      </c>
      <c r="C70" s="6"/>
      <c r="D70" s="6" t="str">
        <f>IFERROR(__xludf.DUMMYFUNCTION("""COMPUTED_VALUE"""),"△")</f>
        <v>△</v>
      </c>
      <c r="E70" s="6" t="str">
        <f>IFERROR(__xludf.DUMMYFUNCTION("""COMPUTED_VALUE"""),"更新が少なく古い印象")</f>
        <v>更新が少なく古い印象</v>
      </c>
    </row>
    <row r="71">
      <c r="A71" s="6" t="str">
        <f t="shared" si="1"/>
        <v>0414</v>
      </c>
      <c r="B71" s="6" t="str">
        <f>IFERROR(__xludf.DUMMYFUNCTION("""COMPUTED_VALUE"""),"占い 葵")</f>
        <v>占い 葵</v>
      </c>
      <c r="C71" s="6"/>
      <c r="D71" s="6" t="str">
        <f>IFERROR(__xludf.DUMMYFUNCTION("""COMPUTED_VALUE"""),"△")</f>
        <v>△</v>
      </c>
      <c r="E71" s="6" t="str">
        <f>IFERROR(__xludf.DUMMYFUNCTION("""COMPUTED_VALUE"""),"無料テンプレートで信頼性が低い")</f>
        <v>無料テンプレートで信頼性が低い</v>
      </c>
    </row>
    <row r="72">
      <c r="A72" s="6" t="str">
        <f t="shared" si="1"/>
        <v>0415</v>
      </c>
      <c r="B72" s="6" t="str">
        <f>IFERROR(__xludf.DUMMYFUNCTION("""COMPUTED_VALUE"""),"ヒーリング 蓮")</f>
        <v>ヒーリング 蓮</v>
      </c>
      <c r="C72" s="7" t="str">
        <f>IFERROR(__xludf.DUMMYFUNCTION("""COMPUTED_VALUE"""),"https://lovelight0207.com")</f>
        <v>https://lovelight0207.com</v>
      </c>
      <c r="D72" s="6" t="str">
        <f>IFERROR(__xludf.DUMMYFUNCTION("""COMPUTED_VALUE"""),"△")</f>
        <v>△</v>
      </c>
      <c r="E72" s="6" t="str">
        <f>IFERROR(__xludf.DUMMYFUNCTION("""COMPUTED_VALUE"""),"非常に地味で集客力が弱い")</f>
        <v>非常に地味で集客力が弱い</v>
      </c>
    </row>
    <row r="73">
      <c r="A73" s="6" t="str">
        <f t="shared" si="1"/>
        <v>0416</v>
      </c>
      <c r="B73" s="6" t="str">
        <f>IFERROR(__xludf.DUMMYFUNCTION("""COMPUTED_VALUE"""),"スピリチュアル 翠")</f>
        <v>スピリチュアル 翠</v>
      </c>
      <c r="C73" s="6"/>
      <c r="D73" s="6" t="str">
        <f>IFERROR(__xludf.DUMMYFUNCTION("""COMPUTED_VALUE"""),"△")</f>
        <v>△</v>
      </c>
      <c r="E73" s="6" t="str">
        <f>IFERROR(__xludf.DUMMYFUNCTION("""COMPUTED_VALUE"""),"文字量が多く読みづらい")</f>
        <v>文字量が多く読みづらい</v>
      </c>
    </row>
    <row r="74">
      <c r="A74" s="6" t="str">
        <f t="shared" si="1"/>
        <v>0417</v>
      </c>
      <c r="B74" s="6" t="str">
        <f>IFERROR(__xludf.DUMMYFUNCTION("""COMPUTED_VALUE"""),"占い 栞")</f>
        <v>占い 栞</v>
      </c>
      <c r="C74" s="6"/>
      <c r="D74" s="6" t="str">
        <f>IFERROR(__xludf.DUMMYFUNCTION("""COMPUTED_VALUE"""),"△")</f>
        <v>△</v>
      </c>
      <c r="E74" s="6" t="str">
        <f>IFERROR(__xludf.DUMMYFUNCTION("""COMPUTED_VALUE"""),"SSL未対応で不安")</f>
        <v>SSL未対応で不安</v>
      </c>
    </row>
    <row r="75">
      <c r="A75" s="6" t="str">
        <f t="shared" si="1"/>
        <v>0418</v>
      </c>
      <c r="B75" s="6" t="str">
        <f>IFERROR(__xludf.DUMMYFUNCTION("""COMPUTED_VALUE"""),"ヒーリング 紬")</f>
        <v>ヒーリング 紬</v>
      </c>
      <c r="C75" s="7" t="str">
        <f>IFERROR(__xludf.DUMMYFUNCTION("""COMPUTED_VALUE"""),"https://healingsalon-tsumugi.com/")</f>
        <v>https://healingsalon-tsumugi.com/</v>
      </c>
      <c r="D75" s="6" t="str">
        <f>IFERROR(__xludf.DUMMYFUNCTION("""COMPUTED_VALUE"""),"△")</f>
        <v>△</v>
      </c>
      <c r="E75" s="6" t="str">
        <f>IFERROR(__xludf.DUMMYFUNCTION("""COMPUTED_VALUE"""),"スマホ対応不完全で崩れあり")</f>
        <v>スマホ対応不完全で崩れあり</v>
      </c>
    </row>
    <row r="76">
      <c r="A76" s="6" t="str">
        <f t="shared" si="1"/>
        <v>0419</v>
      </c>
      <c r="B76" s="6" t="str">
        <f>IFERROR(__xludf.DUMMYFUNCTION("""COMPUTED_VALUE"""),"スピリチュアル 結")</f>
        <v>スピリチュアル 結</v>
      </c>
      <c r="C76" s="7" t="str">
        <f>IFERROR(__xludf.DUMMYFUNCTION("""COMPUTED_VALUE"""),"https://ota-spiritual-yui.com/")</f>
        <v>https://ota-spiritual-yui.com/</v>
      </c>
      <c r="D76" s="6" t="str">
        <f>IFERROR(__xludf.DUMMYFUNCTION("""COMPUTED_VALUE"""),"△")</f>
        <v>△</v>
      </c>
      <c r="E76" s="6" t="str">
        <f>IFERROR(__xludf.DUMMYFUNCTION("""COMPUTED_VALUE"""),"未整備で情報導線が悪い")</f>
        <v>未整備で情報導線が悪い</v>
      </c>
    </row>
    <row r="77">
      <c r="A77" s="6" t="str">
        <f t="shared" si="1"/>
        <v>0420</v>
      </c>
      <c r="B77" s="6" t="str">
        <f>IFERROR(__xludf.DUMMYFUNCTION("""COMPUTED_VALUE"""),"スピリチュアルカウンセリング 結び")</f>
        <v>スピリチュアルカウンセリング 結び</v>
      </c>
      <c r="C77" s="7" t="str">
        <f>IFERROR(__xludf.DUMMYFUNCTION("""COMPUTED_VALUE"""),"https://musubi-spiritual.com/")</f>
        <v>https://musubi-spiritual.com/</v>
      </c>
      <c r="D77" s="6" t="str">
        <f>IFERROR(__xludf.DUMMYFUNCTION("""COMPUTED_VALUE"""),"△")</f>
        <v>△</v>
      </c>
      <c r="E77" s="6" t="str">
        <f>IFERROR(__xludf.DUMMYFUNCTION("""COMPUTED_VALUE"""),"デザインが古くスマホ対応が不十分")</f>
        <v>デザインが古くスマホ対応が不十分</v>
      </c>
    </row>
    <row r="78">
      <c r="A78" s="6" t="str">
        <f t="shared" si="1"/>
        <v>0421</v>
      </c>
      <c r="B78" s="6" t="str">
        <f>IFERROR(__xludf.DUMMYFUNCTION("""COMPUTED_VALUE"""),"占いサロン 紬")</f>
        <v>占いサロン 紬</v>
      </c>
      <c r="C78" s="7" t="str">
        <f>IFERROR(__xludf.DUMMYFUNCTION("""COMPUTED_VALUE"""),"https://tsumugi-uranai.jp/")</f>
        <v>https://tsumugi-uranai.jp/</v>
      </c>
      <c r="D78" s="6" t="str">
        <f>IFERROR(__xludf.DUMMYFUNCTION("""COMPUTED_VALUE"""),"△")</f>
        <v>△</v>
      </c>
      <c r="E78" s="6" t="str">
        <f>IFERROR(__xludf.DUMMYFUNCTION("""COMPUTED_VALUE"""),"更新停止でデザインが古い")</f>
        <v>更新停止でデザインが古い</v>
      </c>
    </row>
    <row r="79">
      <c r="A79" s="6" t="str">
        <f t="shared" si="1"/>
        <v>0422</v>
      </c>
      <c r="B79" s="6" t="str">
        <f>IFERROR(__xludf.DUMMYFUNCTION("""COMPUTED_VALUE"""),"ヒーリングスペース 希")</f>
        <v>ヒーリングスペース 希</v>
      </c>
      <c r="C79" s="7" t="str">
        <f>IFERROR(__xludf.DUMMYFUNCTION("""COMPUTED_VALUE"""),"https://nozomi-healing.net/")</f>
        <v>https://nozomi-healing.net/</v>
      </c>
      <c r="D79" s="6" t="str">
        <f>IFERROR(__xludf.DUMMYFUNCTION("""COMPUTED_VALUE"""),"△")</f>
        <v>△</v>
      </c>
      <c r="E79" s="6" t="str">
        <f>IFERROR(__xludf.DUMMYFUNCTION("""COMPUTED_VALUE"""),"無料テンプレートのままで信頼性が低い")</f>
        <v>無料テンプレートのままで信頼性が低い</v>
      </c>
    </row>
    <row r="80">
      <c r="A80" s="6" t="str">
        <f t="shared" si="1"/>
        <v>0423</v>
      </c>
      <c r="B80" s="6" t="str">
        <f>IFERROR(__xludf.DUMMYFUNCTION("""COMPUTED_VALUE"""),"スピリチュアル 凪")</f>
        <v>スピリチュアル 凪</v>
      </c>
      <c r="C80" s="7" t="str">
        <f>IFERROR(__xludf.DUMMYFUNCTION("""COMPUTED_VALUE"""),"https://nagi-spiritual.com/")</f>
        <v>https://nagi-spiritual.com/</v>
      </c>
      <c r="D80" s="6" t="str">
        <f>IFERROR(__xludf.DUMMYFUNCTION("""COMPUTED_VALUE"""),"△")</f>
        <v>△</v>
      </c>
      <c r="E80" s="6" t="str">
        <f>IFERROR(__xludf.DUMMYFUNCTION("""COMPUTED_VALUE"""),"文字が多く読みづらい旧世代構成")</f>
        <v>文字が多く読みづらい旧世代構成</v>
      </c>
    </row>
    <row r="81">
      <c r="A81" s="6" t="str">
        <f t="shared" si="1"/>
        <v>0424</v>
      </c>
      <c r="B81" s="6" t="str">
        <f>IFERROR(__xludf.DUMMYFUNCTION("""COMPUTED_VALUE"""),"占い 澪")</f>
        <v>占い 澪</v>
      </c>
      <c r="C81" s="7" t="str">
        <f>IFERROR(__xludf.DUMMYFUNCTION("""COMPUTED_VALUE"""),"https://mio-uranai.com/")</f>
        <v>https://mio-uranai.com/</v>
      </c>
      <c r="D81" s="6" t="str">
        <f>IFERROR(__xludf.DUMMYFUNCTION("""COMPUTED_VALUE"""),"△")</f>
        <v>△</v>
      </c>
      <c r="E81" s="6" t="str">
        <f>IFERROR(__xludf.DUMMYFUNCTION("""COMPUTED_VALUE"""),"非常に地味で集客力が弱い")</f>
        <v>非常に地味で集客力が弱い</v>
      </c>
    </row>
    <row r="82">
      <c r="A82" s="6" t="str">
        <f t="shared" si="1"/>
        <v>0425</v>
      </c>
      <c r="B82" s="6" t="str">
        <f>IFERROR(__xludf.DUMMYFUNCTION("""COMPUTED_VALUE"""),"ヒーリング 葵")</f>
        <v>ヒーリング 葵</v>
      </c>
      <c r="C82" s="7" t="str">
        <f>IFERROR(__xludf.DUMMYFUNCTION("""COMPUTED_VALUE"""),"https://aoi-healing.jp/")</f>
        <v>https://aoi-healing.jp/</v>
      </c>
      <c r="D82" s="6" t="str">
        <f>IFERROR(__xludf.DUMMYFUNCTION("""COMPUTED_VALUE"""),"△")</f>
        <v>△</v>
      </c>
      <c r="E82" s="6" t="str">
        <f>IFERROR(__xludf.DUMMYFUNCTION("""COMPUTED_VALUE"""),"画像が粗く素人感が強い")</f>
        <v>画像が粗く素人感が強い</v>
      </c>
    </row>
    <row r="83">
      <c r="A83" s="6" t="str">
        <f t="shared" si="1"/>
        <v>0426</v>
      </c>
      <c r="B83" s="6" t="str">
        <f>IFERROR(__xludf.DUMMYFUNCTION("""COMPUTED_VALUE"""),"スピリチュアル 蓮")</f>
        <v>スピリチュアル 蓮</v>
      </c>
      <c r="C83" s="7" t="str">
        <f>IFERROR(__xludf.DUMMYFUNCTION("""COMPUTED_VALUE"""),"https://hasu-spiritual.net/")</f>
        <v>https://hasu-spiritual.net/</v>
      </c>
      <c r="D83" s="6" t="str">
        <f>IFERROR(__xludf.DUMMYFUNCTION("""COMPUTED_VALUE"""),"△")</f>
        <v>△</v>
      </c>
      <c r="E83" s="6" t="str">
        <f>IFERROR(__xludf.DUMMYFUNCTION("""COMPUTED_VALUE"""),"数年前から更新が止まっている")</f>
        <v>数年前から更新が止まっている</v>
      </c>
    </row>
    <row r="84">
      <c r="A84" s="6" t="str">
        <f t="shared" si="1"/>
        <v>0427</v>
      </c>
      <c r="B84" s="6" t="str">
        <f>IFERROR(__xludf.DUMMYFUNCTION("""COMPUTED_VALUE"""),"占い 翠")</f>
        <v>占い 翠</v>
      </c>
      <c r="C84" s="7" t="str">
        <f>IFERROR(__xludf.DUMMYFUNCTION("""COMPUTED_VALUE"""),"https://sui-uranai.jp/")</f>
        <v>https://sui-uranai.jp/</v>
      </c>
      <c r="D84" s="6" t="str">
        <f>IFERROR(__xludf.DUMMYFUNCTION("""COMPUTED_VALUE"""),"△")</f>
        <v>△</v>
      </c>
      <c r="E84" s="6" t="str">
        <f>IFERROR(__xludf.DUMMYFUNCTION("""COMPUTED_VALUE"""),"1ページ構成で情報量が少ない")</f>
        <v>1ページ構成で情報量が少ない</v>
      </c>
    </row>
    <row r="85">
      <c r="A85" s="6" t="str">
        <f t="shared" si="1"/>
        <v>0428</v>
      </c>
      <c r="B85" s="6" t="str">
        <f>IFERROR(__xludf.DUMMYFUNCTION("""COMPUTED_VALUE"""),"ヒーリング 栞")</f>
        <v>ヒーリング 栞</v>
      </c>
      <c r="C85" s="7" t="str">
        <f>IFERROR(__xludf.DUMMYFUNCTION("""COMPUTED_VALUE"""),"https://shiori-healing.com/")</f>
        <v>https://shiori-healing.com/</v>
      </c>
      <c r="D85" s="6" t="str">
        <f>IFERROR(__xludf.DUMMYFUNCTION("""COMPUTED_VALUE"""),"△")</f>
        <v>△</v>
      </c>
      <c r="E85" s="6" t="str">
        <f>IFERROR(__xludf.DUMMYFUNCTION("""COMPUTED_VALUE"""),"未整備で導線が悪い")</f>
        <v>未整備で導線が悪い</v>
      </c>
    </row>
    <row r="86">
      <c r="A86" s="6" t="str">
        <f t="shared" si="1"/>
        <v>0429</v>
      </c>
      <c r="B86" s="6" t="str">
        <f>IFERROR(__xludf.DUMMYFUNCTION("""COMPUTED_VALUE"""),"スピリチュアル 紬")</f>
        <v>スピリチュアル 紬</v>
      </c>
      <c r="C86" s="7" t="str">
        <f>IFERROR(__xludf.DUMMYFUNCTION("""COMPUTED_VALUE"""),"https://tsumugi-spiritual.net/")</f>
        <v>https://tsumugi-spiritual.net/</v>
      </c>
      <c r="D86" s="6" t="str">
        <f>IFERROR(__xludf.DUMMYFUNCTION("""COMPUTED_VALUE"""),"△")</f>
        <v>△</v>
      </c>
      <c r="E86" s="6" t="str">
        <f>IFERROR(__xludf.DUMMYFUNCTION("""COMPUTED_VALUE"""),"SSL未対応でセキュリティ不安")</f>
        <v>SSL未対応でセキュリティ不安</v>
      </c>
    </row>
    <row r="87">
      <c r="A87" s="6" t="str">
        <f t="shared" si="1"/>
        <v>0430</v>
      </c>
      <c r="B87" s="6" t="str">
        <f>IFERROR(__xludf.DUMMYFUNCTION("""COMPUTED_VALUE"""),"占い 結")</f>
        <v>占い 結</v>
      </c>
      <c r="C87" s="7" t="str">
        <f>IFERROR(__xludf.DUMMYFUNCTION("""COMPUTED_VALUE"""),"https://yui-uranai.com/")</f>
        <v>https://yui-uranai.com/</v>
      </c>
      <c r="D87" s="6" t="str">
        <f>IFERROR(__xludf.DUMMYFUNCTION("""COMPUTED_VALUE"""),"△")</f>
        <v>△</v>
      </c>
      <c r="E87" s="6" t="str">
        <f>IFERROR(__xludf.DUMMYFUNCTION("""COMPUTED_VALUE"""),"テンプレ使用で独自性がない")</f>
        <v>テンプレ使用で独自性がない</v>
      </c>
    </row>
    <row r="88">
      <c r="A88" s="6" t="str">
        <f t="shared" si="1"/>
        <v>0431</v>
      </c>
      <c r="B88" s="6" t="str">
        <f>IFERROR(__xludf.DUMMYFUNCTION("""COMPUTED_VALUE"""),"ヒーリング 楓")</f>
        <v>ヒーリング 楓</v>
      </c>
      <c r="C88" s="7" t="str">
        <f>IFERROR(__xludf.DUMMYFUNCTION("""COMPUTED_VALUE"""),"https://kaede-healing.jp/")</f>
        <v>https://kaede-healing.jp/</v>
      </c>
      <c r="D88" s="6" t="str">
        <f>IFERROR(__xludf.DUMMYFUNCTION("""COMPUTED_VALUE"""),"△")</f>
        <v>△</v>
      </c>
      <c r="E88" s="6" t="str">
        <f>IFERROR(__xludf.DUMMYFUNCTION("""COMPUTED_VALUE"""),"スマホ対応不完全で崩れあり")</f>
        <v>スマホ対応不完全で崩れあり</v>
      </c>
    </row>
    <row r="89">
      <c r="A89" s="6" t="str">
        <f t="shared" si="1"/>
        <v>0432</v>
      </c>
      <c r="B89" s="6" t="str">
        <f>IFERROR(__xludf.DUMMYFUNCTION("""COMPUTED_VALUE"""),"スピリチュアル 蕾")</f>
        <v>スピリチュアル 蕾</v>
      </c>
      <c r="C89" s="7" t="str">
        <f>IFERROR(__xludf.DUMMYFUNCTION("""COMPUTED_VALUE"""),"https://tsubomi-spiritual.com/")</f>
        <v>https://tsubomi-spiritual.com/</v>
      </c>
      <c r="D89" s="6" t="str">
        <f>IFERROR(__xludf.DUMMYFUNCTION("""COMPUTED_VALUE"""),"△")</f>
        <v>△</v>
      </c>
      <c r="E89" s="6" t="str">
        <f>IFERROR(__xludf.DUMMYFUNCTION("""COMPUTED_VALUE"""),"古風すぎて若年層訴求が弱い")</f>
        <v>古風すぎて若年層訴求が弱い</v>
      </c>
    </row>
    <row r="90">
      <c r="A90" s="6" t="str">
        <f t="shared" si="1"/>
        <v>0433</v>
      </c>
      <c r="B90" s="6" t="str">
        <f>IFERROR(__xludf.DUMMYFUNCTION("""COMPUTED_VALUE"""),"占い 華")</f>
        <v>占い 華</v>
      </c>
      <c r="C90" s="7" t="str">
        <f>IFERROR(__xludf.DUMMYFUNCTION("""COMPUTED_VALUE"""),"https://hana-uranai.net/")</f>
        <v>https://hana-uranai.net/</v>
      </c>
      <c r="D90" s="6" t="str">
        <f>IFERROR(__xludf.DUMMYFUNCTION("""COMPUTED_VALUE"""),"△")</f>
        <v>△</v>
      </c>
      <c r="E90" s="6" t="str">
        <f>IFERROR(__xludf.DUMMYFUNCTION("""COMPUTED_VALUE"""),"更新が少なく古い印象")</f>
        <v>更新が少なく古い印象</v>
      </c>
    </row>
    <row r="91">
      <c r="A91" s="6" t="str">
        <f t="shared" si="1"/>
        <v>0434</v>
      </c>
      <c r="B91" s="6" t="str">
        <f>IFERROR(__xludf.DUMMYFUNCTION("""COMPUTED_VALUE"""),"ヒーリング 紬")</f>
        <v>ヒーリング 紬</v>
      </c>
      <c r="C91" s="7" t="str">
        <f>IFERROR(__xludf.DUMMYFUNCTION("""COMPUTED_VALUE"""),"https://tsumugi-healing.jp/")</f>
        <v>https://tsumugi-healing.jp/</v>
      </c>
      <c r="D91" s="6" t="str">
        <f>IFERROR(__xludf.DUMMYFUNCTION("""COMPUTED_VALUE"""),"△")</f>
        <v>△</v>
      </c>
      <c r="E91" s="6" t="str">
        <f>IFERROR(__xludf.DUMMYFUNCTION("""COMPUTED_VALUE"""),"無料ブログ風で信頼性が低い")</f>
        <v>無料ブログ風で信頼性が低い</v>
      </c>
    </row>
    <row r="92">
      <c r="A92" s="6" t="str">
        <f t="shared" si="1"/>
        <v>0435</v>
      </c>
      <c r="B92" s="6" t="str">
        <f>IFERROR(__xludf.DUMMYFUNCTION("""COMPUTED_VALUE"""),"スピリチュアル 奏")</f>
        <v>スピリチュアル 奏</v>
      </c>
      <c r="C92" s="7" t="str">
        <f>IFERROR(__xludf.DUMMYFUNCTION("""COMPUTED_VALUE"""),"https://kanade-spiritual.jp/")</f>
        <v>https://kanade-spiritual.jp/</v>
      </c>
      <c r="D92" s="6" t="str">
        <f>IFERROR(__xludf.DUMMYFUNCTION("""COMPUTED_VALUE"""),"△")</f>
        <v>△</v>
      </c>
      <c r="E92" s="6" t="str">
        <f>IFERROR(__xludf.DUMMYFUNCTION("""COMPUTED_VALUE"""),"非常にシンプルでデザイン性が低い")</f>
        <v>非常にシンプルでデザイン性が低い</v>
      </c>
    </row>
    <row r="93">
      <c r="A93" s="6" t="str">
        <f t="shared" si="1"/>
        <v>0436</v>
      </c>
      <c r="B93" s="6" t="str">
        <f>IFERROR(__xludf.DUMMYFUNCTION("""COMPUTED_VALUE"""),"占い 絆")</f>
        <v>占い 絆</v>
      </c>
      <c r="C93" s="7" t="str">
        <f>IFERROR(__xludf.DUMMYFUNCTION("""COMPUTED_VALUE"""),"https://kizuna-uranai.net/")</f>
        <v>https://kizuna-uranai.net/</v>
      </c>
      <c r="D93" s="6" t="str">
        <f>IFERROR(__xludf.DUMMYFUNCTION("""COMPUTED_VALUE"""),"△")</f>
        <v>△</v>
      </c>
      <c r="E93" s="6" t="str">
        <f>IFERROR(__xludf.DUMMYFUNCTION("""COMPUTED_VALUE"""),"更新停止で活気がない")</f>
        <v>更新停止で活気がない</v>
      </c>
    </row>
    <row r="94">
      <c r="A94" s="6" t="str">
        <f t="shared" si="1"/>
        <v>0437</v>
      </c>
      <c r="B94" s="6" t="str">
        <f>IFERROR(__xludf.DUMMYFUNCTION("""COMPUTED_VALUE"""),"ヒーリング 希")</f>
        <v>ヒーリング 希</v>
      </c>
      <c r="C94" s="7" t="str">
        <f>IFERROR(__xludf.DUMMYFUNCTION("""COMPUTED_VALUE"""),"https://nozomi-healing.jp/")</f>
        <v>https://nozomi-healing.jp/</v>
      </c>
      <c r="D94" s="6" t="str">
        <f>IFERROR(__xludf.DUMMYFUNCTION("""COMPUTED_VALUE"""),"△")</f>
        <v>△</v>
      </c>
      <c r="E94" s="6" t="str">
        <f>IFERROR(__xludf.DUMMYFUNCTION("""COMPUTED_VALUE"""),"画像が粗く素人感が強い")</f>
        <v>画像が粗く素人感が強い</v>
      </c>
    </row>
    <row r="95">
      <c r="A95" s="6" t="str">
        <f t="shared" si="1"/>
        <v>0438</v>
      </c>
      <c r="B95" s="6" t="str">
        <f>IFERROR(__xludf.DUMMYFUNCTION("""COMPUTED_VALUE"""),"スピリチュアル 凪")</f>
        <v>スピリチュアル 凪</v>
      </c>
      <c r="C95" s="7" t="str">
        <f>IFERROR(__xludf.DUMMYFUNCTION("""COMPUTED_VALUE"""),"https://nagi-spiritual.jp/")</f>
        <v>https://nagi-spiritual.jp/</v>
      </c>
      <c r="D95" s="6" t="str">
        <f>IFERROR(__xludf.DUMMYFUNCTION("""COMPUTED_VALUE"""),"△")</f>
        <v>△</v>
      </c>
      <c r="E95" s="6" t="str">
        <f>IFERROR(__xludf.DUMMYFUNCTION("""COMPUTED_VALUE"""),"未整備で導線が悪い")</f>
        <v>未整備で導線が悪い</v>
      </c>
    </row>
    <row r="96">
      <c r="A96" s="6" t="str">
        <f t="shared" si="1"/>
        <v>0439</v>
      </c>
      <c r="B96" s="6" t="str">
        <f>IFERROR(__xludf.DUMMYFUNCTION("""COMPUTED_VALUE"""),"占い 澪")</f>
        <v>占い 澪</v>
      </c>
      <c r="C96" s="7" t="str">
        <f>IFERROR(__xludf.DUMMYFUNCTION("""COMPUTED_VALUE"""),"https://mio-uranai.jp/")</f>
        <v>https://mio-uranai.jp/</v>
      </c>
      <c r="D96" s="6" t="str">
        <f>IFERROR(__xludf.DUMMYFUNCTION("""COMPUTED_VALUE"""),"△")</f>
        <v>△</v>
      </c>
      <c r="E96" s="6" t="str">
        <f>IFERROR(__xludf.DUMMYFUNCTION("""COMPUTED_VALUE"""),"1ページ構成で情報量が少ない")</f>
        <v>1ページ構成で情報量が少ない</v>
      </c>
    </row>
    <row r="97">
      <c r="A97" s="6" t="str">
        <f t="shared" si="1"/>
        <v>0440</v>
      </c>
      <c r="B97" s="6" t="str">
        <f>IFERROR(__xludf.DUMMYFUNCTION("""COMPUTED_VALUE"""),"ヒーリング 葵")</f>
        <v>ヒーリング 葵</v>
      </c>
      <c r="C97" s="7" t="str">
        <f>IFERROR(__xludf.DUMMYFUNCTION("""COMPUTED_VALUE"""),"https://aoi-healing.com/")</f>
        <v>https://aoi-healing.com/</v>
      </c>
      <c r="D97" s="6" t="str">
        <f>IFERROR(__xludf.DUMMYFUNCTION("""COMPUTED_VALUE"""),"△")</f>
        <v>△</v>
      </c>
      <c r="E97" s="6" t="str">
        <f>IFERROR(__xludf.DUMMYFUNCTION("""COMPUTED_VALUE"""),"古風すぎて若年層訴求が弱い")</f>
        <v>古風すぎて若年層訴求が弱い</v>
      </c>
    </row>
    <row r="98">
      <c r="A98" s="6" t="str">
        <f t="shared" si="1"/>
        <v>0441</v>
      </c>
      <c r="B98" s="6" t="str">
        <f>IFERROR(__xludf.DUMMYFUNCTION("""COMPUTED_VALUE"""),"スピリチュアル 蓮")</f>
        <v>スピリチュアル 蓮</v>
      </c>
      <c r="C98" s="7" t="str">
        <f>IFERROR(__xludf.DUMMYFUNCTION("""COMPUTED_VALUE"""),"https://hasu-spiritual.jp/")</f>
        <v>https://hasu-spiritual.jp/</v>
      </c>
      <c r="D98" s="6" t="str">
        <f>IFERROR(__xludf.DUMMYFUNCTION("""COMPUTED_VALUE"""),"△")</f>
        <v>△</v>
      </c>
      <c r="E98" s="6" t="str">
        <f>IFERROR(__xludf.DUMMYFUNCTION("""COMPUTED_VALUE"""),"更新が少なく古い印象")</f>
        <v>更新が少なく古い印象</v>
      </c>
    </row>
    <row r="99">
      <c r="A99" s="6" t="str">
        <f t="shared" si="1"/>
        <v>0442</v>
      </c>
      <c r="B99" s="6" t="str">
        <f>IFERROR(__xludf.DUMMYFUNCTION("""COMPUTED_VALUE"""),"占い 翠")</f>
        <v>占い 翠</v>
      </c>
      <c r="C99" s="7" t="str">
        <f>IFERROR(__xludf.DUMMYFUNCTION("""COMPUTED_VALUE"""),"https://sui-uranai.com/")</f>
        <v>https://sui-uranai.com/</v>
      </c>
      <c r="D99" s="6" t="str">
        <f>IFERROR(__xludf.DUMMYFUNCTION("""COMPUTED_VALUE"""),"△")</f>
        <v>△</v>
      </c>
      <c r="E99" s="6" t="str">
        <f>IFERROR(__xludf.DUMMYFUNCTION("""COMPUTED_VALUE"""),"無料テンプレートで信頼性が低い")</f>
        <v>無料テンプレートで信頼性が低い</v>
      </c>
    </row>
    <row r="100">
      <c r="A100" s="6" t="str">
        <f t="shared" si="1"/>
        <v>0443</v>
      </c>
      <c r="B100" s="6" t="str">
        <f>IFERROR(__xludf.DUMMYFUNCTION("""COMPUTED_VALUE"""),"ヒーリング 栞")</f>
        <v>ヒーリング 栞</v>
      </c>
      <c r="C100" s="7" t="str">
        <f>IFERROR(__xludf.DUMMYFUNCTION("""COMPUTED_VALUE"""),"https://shiori-healing.jp/")</f>
        <v>https://shiori-healing.jp/</v>
      </c>
      <c r="D100" s="6" t="str">
        <f>IFERROR(__xludf.DUMMYFUNCTION("""COMPUTED_VALUE"""),"△")</f>
        <v>△</v>
      </c>
      <c r="E100" s="6" t="str">
        <f>IFERROR(__xludf.DUMMYFUNCTION("""COMPUTED_VALUE"""),"非常に地味で集客力が弱い")</f>
        <v>非常に地味で集客力が弱い</v>
      </c>
    </row>
    <row r="101">
      <c r="A101" s="6" t="str">
        <f t="shared" si="1"/>
        <v>0444</v>
      </c>
      <c r="B101" s="6" t="str">
        <f>IFERROR(__xludf.DUMMYFUNCTION("""COMPUTED_VALUE"""),"スピリチュアル 紬")</f>
        <v>スピリチュアル 紬</v>
      </c>
      <c r="C101" s="7" t="str">
        <f>IFERROR(__xludf.DUMMYFUNCTION("""COMPUTED_VALUE"""),"https://tsumugi-spiritual.com/")</f>
        <v>https://tsumugi-spiritual.com/</v>
      </c>
      <c r="D101" s="6" t="str">
        <f>IFERROR(__xludf.DUMMYFUNCTION("""COMPUTED_VALUE"""),"△")</f>
        <v>△</v>
      </c>
      <c r="E101" s="6" t="str">
        <f>IFERROR(__xludf.DUMMYFUNCTION("""COMPUTED_VALUE"""),"文字量が多く読みづらい")</f>
        <v>文字量が多く読みづらい</v>
      </c>
    </row>
    <row r="102">
      <c r="A102" s="6" t="str">
        <f t="shared" si="1"/>
        <v>0445</v>
      </c>
      <c r="B102" s="6" t="str">
        <f>IFERROR(__xludf.DUMMYFUNCTION("""COMPUTED_VALUE"""),"占い 結")</f>
        <v>占い 結</v>
      </c>
      <c r="C102" s="7" t="str">
        <f>IFERROR(__xludf.DUMMYFUNCTION("""COMPUTED_VALUE"""),"https://yui-uranai.jp/")</f>
        <v>https://yui-uranai.jp/</v>
      </c>
      <c r="D102" s="6" t="str">
        <f>IFERROR(__xludf.DUMMYFUNCTION("""COMPUTED_VALUE"""),"△")</f>
        <v>△</v>
      </c>
      <c r="E102" s="6" t="str">
        <f>IFERROR(__xludf.DUMMYFUNCTION("""COMPUTED_VALUE"""),"SSL未対応で不安")</f>
        <v>SSL未対応で不安</v>
      </c>
    </row>
    <row r="103">
      <c r="A103" s="6" t="str">
        <f t="shared" si="1"/>
        <v>0446</v>
      </c>
      <c r="B103" s="6" t="str">
        <f>IFERROR(__xludf.DUMMYFUNCTION("""COMPUTED_VALUE"""),"ヒーリング 楓")</f>
        <v>ヒーリング 楓</v>
      </c>
      <c r="C103" s="7" t="str">
        <f>IFERROR(__xludf.DUMMYFUNCTION("""COMPUTED_VALUE"""),"https://kaede-healing.com/")</f>
        <v>https://kaede-healing.com/</v>
      </c>
      <c r="D103" s="6" t="str">
        <f>IFERROR(__xludf.DUMMYFUNCTION("""COMPUTED_VALUE"""),"△")</f>
        <v>△</v>
      </c>
      <c r="E103" s="6" t="str">
        <f>IFERROR(__xludf.DUMMYFUNCTION("""COMPUTED_VALUE"""),"スマホ対応不完全で崩れあり")</f>
        <v>スマホ対応不完全で崩れあり</v>
      </c>
    </row>
    <row r="104">
      <c r="A104" s="6" t="str">
        <f t="shared" si="1"/>
        <v>0447</v>
      </c>
      <c r="B104" s="6" t="str">
        <f>IFERROR(__xludf.DUMMYFUNCTION("""COMPUTED_VALUE"""),"スピリチュアル 蕾")</f>
        <v>スピリチュアル 蕾</v>
      </c>
      <c r="C104" s="7" t="str">
        <f>IFERROR(__xludf.DUMMYFUNCTION("""COMPUTED_VALUE"""),"https://tsubomi-spiritual.jp/")</f>
        <v>https://tsubomi-spiritual.jp/</v>
      </c>
      <c r="D104" s="6" t="str">
        <f>IFERROR(__xludf.DUMMYFUNCTION("""COMPUTED_VALUE"""),"△")</f>
        <v>△</v>
      </c>
      <c r="E104" s="6" t="str">
        <f>IFERROR(__xludf.DUMMYFUNCTION("""COMPUTED_VALUE"""),"未整備で導線が悪い")</f>
        <v>未整備で導線が悪い</v>
      </c>
    </row>
    <row r="105">
      <c r="A105" s="6" t="str">
        <f t="shared" si="1"/>
        <v>0448</v>
      </c>
      <c r="B105" s="6" t="str">
        <f>IFERROR(__xludf.DUMMYFUNCTION("""COMPUTED_VALUE"""),"占い 華")</f>
        <v>占い 華</v>
      </c>
      <c r="C105" s="7" t="str">
        <f>IFERROR(__xludf.DUMMYFUNCTION("""COMPUTED_VALUE"""),"https://hana-uranai.com/")</f>
        <v>https://hana-uranai.com/</v>
      </c>
      <c r="D105" s="6" t="str">
        <f>IFERROR(__xludf.DUMMYFUNCTION("""COMPUTED_VALUE"""),"△")</f>
        <v>△</v>
      </c>
      <c r="E105" s="6" t="str">
        <f>IFERROR(__xludf.DUMMYFUNCTION("""COMPUTED_VALUE"""),"更新が少なく古い印象")</f>
        <v>更新が少なく古い印象</v>
      </c>
    </row>
    <row r="106">
      <c r="A106" s="6" t="str">
        <f t="shared" si="1"/>
        <v>0449</v>
      </c>
      <c r="B106" s="6" t="str">
        <f>IFERROR(__xludf.DUMMYFUNCTION("""COMPUTED_VALUE"""),"ヒーリング 紬")</f>
        <v>ヒーリング 紬</v>
      </c>
      <c r="C106" s="7" t="str">
        <f>IFERROR(__xludf.DUMMYFUNCTION("""COMPUTED_VALUE"""),"https://tsumugi-healing.com/")</f>
        <v>https://tsumugi-healing.com/</v>
      </c>
      <c r="D106" s="6" t="str">
        <f>IFERROR(__xludf.DUMMYFUNCTION("""COMPUTED_VALUE"""),"△")</f>
        <v>△</v>
      </c>
      <c r="E106" s="6" t="str">
        <f>IFERROR(__xludf.DUMMYFUNCTION("""COMPUTED_VALUE"""),"無料ブログ風で信頼性が低い")</f>
        <v>無料ブログ風で信頼性が低い</v>
      </c>
    </row>
    <row r="107">
      <c r="A107" s="6" t="str">
        <f t="shared" si="1"/>
        <v>0450</v>
      </c>
      <c r="B107" s="1" t="s">
        <v>227</v>
      </c>
    </row>
    <row r="108">
      <c r="A108" s="6" t="str">
        <f t="shared" si="1"/>
        <v>0451</v>
      </c>
      <c r="B108" s="6" t="str">
        <f>IFERROR(__xludf.DUMMYFUNCTION("QUERY('府中市'!A:D, ""select * where C='△'"", 1)"),"府中ワルツヒーリングスクール")</f>
        <v>府中ワルツヒーリングスクール</v>
      </c>
      <c r="C108" s="7" t="str">
        <f>IFERROR(__xludf.DUMMYFUNCTION("""COMPUTED_VALUE"""),"https://fuchuwaltz.com/")</f>
        <v>https://fuchuwaltz.com/</v>
      </c>
      <c r="D108" s="6" t="str">
        <f>IFERROR(__xludf.DUMMYFUNCTION("""COMPUTED_VALUE"""),"○")</f>
        <v>○</v>
      </c>
      <c r="E108" s="6" t="str">
        <f>IFERROR(__xludf.DUMMYFUNCTION("""COMPUTED_VALUE"""),"シータヒーリング 充実")</f>
        <v>シータヒーリング 充実</v>
      </c>
      <c r="F108" s="10" t="s">
        <v>228</v>
      </c>
    </row>
    <row r="109">
      <c r="A109" s="6" t="str">
        <f t="shared" si="1"/>
        <v>0452</v>
      </c>
      <c r="B109" s="6" t="str">
        <f>IFERROR(__xludf.DUMMYFUNCTION("""COMPUTED_VALUE"""),"アロマサロンふわり")</f>
        <v>アロマサロンふわり</v>
      </c>
      <c r="C109" s="7" t="str">
        <f>IFERROR(__xludf.DUMMYFUNCTION("""COMPUTED_VALUE"""),"https://www.aroma-fuwari.co/")</f>
        <v>https://www.aroma-fuwari.co/</v>
      </c>
      <c r="D109" s="6" t="str">
        <f>IFERROR(__xludf.DUMMYFUNCTION("""COMPUTED_VALUE"""),"△")</f>
        <v>△</v>
      </c>
      <c r="E109" s="6" t="str">
        <f>IFERROR(__xludf.DUMMYFUNCTION("""COMPUTED_VALUE"""),"アロマ Wix")</f>
        <v>アロマ Wix</v>
      </c>
      <c r="F109" s="10" t="s">
        <v>229</v>
      </c>
    </row>
    <row r="110">
      <c r="A110" s="6" t="str">
        <f t="shared" si="1"/>
        <v>0453</v>
      </c>
      <c r="B110" s="6" t="str">
        <f>IFERROR(__xludf.DUMMYFUNCTION("""COMPUTED_VALUE"""),"セラピールームルルド")</f>
        <v>セラピールームルルド</v>
      </c>
      <c r="C110" s="7" t="str">
        <f>IFERROR(__xludf.DUMMYFUNCTION("""COMPUTED_VALUE"""),"https://rurudo1618.jimdofree.com/")</f>
        <v>https://rurudo1618.jimdofree.com/</v>
      </c>
      <c r="D110" s="6" t="str">
        <f>IFERROR(__xludf.DUMMYFUNCTION("""COMPUTED_VALUE"""),"△")</f>
        <v>△</v>
      </c>
      <c r="E110" s="6" t="str">
        <f>IFERROR(__xludf.DUMMYFUNCTION("""COMPUTED_VALUE"""),"セラピー Jimdo")</f>
        <v>セラピー Jimdo</v>
      </c>
      <c r="F110" s="10" t="s">
        <v>230</v>
      </c>
    </row>
    <row r="111">
      <c r="A111" s="6" t="str">
        <f t="shared" si="1"/>
        <v>0454</v>
      </c>
      <c r="B111" s="6" t="str">
        <f>IFERROR(__xludf.DUMMYFUNCTION("""COMPUTED_VALUE"""),"ヒーリングサロン kisara")</f>
        <v>ヒーリングサロン kisara</v>
      </c>
      <c r="C111" s="7" t="str">
        <f>IFERROR(__xludf.DUMMYFUNCTION("""COMPUTED_VALUE"""),"http://kisarahealing.com/")</f>
        <v>http://kisarahealing.com/</v>
      </c>
      <c r="D111" s="6" t="str">
        <f>IFERROR(__xludf.DUMMYFUNCTION("""COMPUTED_VALUE"""),"△")</f>
        <v>△</v>
      </c>
      <c r="E111" s="6" t="str">
        <f>IFERROR(__xludf.DUMMYFUNCTION("""COMPUTED_VALUE"""),"ヒーリング 古い")</f>
        <v>ヒーリング 古い</v>
      </c>
      <c r="F111" s="10" t="s">
        <v>231</v>
      </c>
    </row>
    <row r="112">
      <c r="A112" s="6" t="str">
        <f t="shared" si="1"/>
        <v>0455</v>
      </c>
      <c r="B112" s="6" t="str">
        <f>IFERROR(__xludf.DUMMYFUNCTION("""COMPUTED_VALUE"""),"Healing Honon")</f>
        <v>Healing Honon</v>
      </c>
      <c r="C112" s="7" t="str">
        <f>IFERROR(__xludf.DUMMYFUNCTION("""COMPUTED_VALUE"""),"http://healing-hanon.com/")</f>
        <v>http://healing-hanon.com/</v>
      </c>
      <c r="D112" s="6" t="str">
        <f>IFERROR(__xludf.DUMMYFUNCTION("""COMPUTED_VALUE"""),"△")</f>
        <v>△</v>
      </c>
      <c r="E112" s="6" t="str">
        <f>IFERROR(__xludf.DUMMYFUNCTION("""COMPUTED_VALUE"""),"ヒーリング シンプル")</f>
        <v>ヒーリング シンプル</v>
      </c>
      <c r="F112" s="10" t="s">
        <v>232</v>
      </c>
    </row>
    <row r="113">
      <c r="A113" s="6" t="str">
        <f t="shared" si="1"/>
        <v>0456</v>
      </c>
      <c r="B113" s="6" t="str">
        <f>IFERROR(__xludf.DUMMYFUNCTION("""COMPUTED_VALUE"""),"森の癒し処まにまに")</f>
        <v>森の癒し処まにまに</v>
      </c>
      <c r="C113" s="7" t="str">
        <f>IFERROR(__xludf.DUMMYFUNCTION("""COMPUTED_VALUE"""),"http://manimani-fuchu.com/")</f>
        <v>http://manimani-fuchu.com/</v>
      </c>
      <c r="D113" s="6" t="str">
        <f>IFERROR(__xludf.DUMMYFUNCTION("""COMPUTED_VALUE"""),"△")</f>
        <v>△</v>
      </c>
      <c r="E113" s="6" t="str">
        <f>IFERROR(__xludf.DUMMYFUNCTION("""COMPUTED_VALUE"""),"癒し 古い")</f>
        <v>癒し 古い</v>
      </c>
      <c r="F113" s="10" t="s">
        <v>233</v>
      </c>
    </row>
    <row r="114">
      <c r="A114" s="6" t="str">
        <f t="shared" si="1"/>
        <v>0457</v>
      </c>
      <c r="B114" s="6" t="str">
        <f>IFERROR(__xludf.DUMMYFUNCTION("""COMPUTED_VALUE"""),"claire")</f>
        <v>claire</v>
      </c>
      <c r="C114" s="7" t="str">
        <f>IFERROR(__xludf.DUMMYFUNCTION("""COMPUTED_VALUE"""),"https://claire2021.amebaownd.com/")</f>
        <v>https://claire2021.amebaownd.com/</v>
      </c>
      <c r="D114" s="6" t="str">
        <f>IFERROR(__xludf.DUMMYFUNCTION("""COMPUTED_VALUE"""),"△")</f>
        <v>△</v>
      </c>
      <c r="E114" s="6" t="str">
        <f>IFERROR(__xludf.DUMMYFUNCTION("""COMPUTED_VALUE"""),"ヒーリング Ownd")</f>
        <v>ヒーリング Ownd</v>
      </c>
      <c r="F114" s="10" t="s">
        <v>234</v>
      </c>
    </row>
    <row r="115">
      <c r="A115" s="6" t="str">
        <f t="shared" si="1"/>
        <v>0458</v>
      </c>
      <c r="B115" s="6" t="str">
        <f>IFERROR(__xludf.DUMMYFUNCTION("""COMPUTED_VALUE"""),"府中そるぶ治療院")</f>
        <v>府中そるぶ治療院</v>
      </c>
      <c r="C115" s="7" t="str">
        <f>IFERROR(__xludf.DUMMYFUNCTION("""COMPUTED_VALUE"""),"http://www.uzurasolve.jp/")</f>
        <v>http://www.uzurasolve.jp/</v>
      </c>
      <c r="D115" s="6" t="str">
        <f>IFERROR(__xludf.DUMMYFUNCTION("""COMPUTED_VALUE"""),"△")</f>
        <v>△</v>
      </c>
      <c r="E115" s="6" t="str">
        <f>IFERROR(__xludf.DUMMYFUNCTION("""COMPUTED_VALUE"""),"治療 気功 古い")</f>
        <v>治療 気功 古い</v>
      </c>
      <c r="F115" s="10" t="s">
        <v>235</v>
      </c>
    </row>
    <row r="116">
      <c r="A116" s="6" t="str">
        <f t="shared" si="1"/>
        <v>0459</v>
      </c>
      <c r="B116" s="6" t="str">
        <f>IFERROR(__xludf.DUMMYFUNCTION("""COMPUTED_VALUE"""),"Full Bloom")</f>
        <v>Full Bloom</v>
      </c>
      <c r="C116" s="7" t="str">
        <f>IFERROR(__xludf.DUMMYFUNCTION("""COMPUTED_VALUE"""),"https://fullbloomkumi.wixsite.com/home")</f>
        <v>https://fullbloomkumi.wixsite.com/home</v>
      </c>
      <c r="D116" s="6" t="str">
        <f>IFERROR(__xludf.DUMMYFUNCTION("""COMPUTED_VALUE"""),"△")</f>
        <v>△</v>
      </c>
      <c r="E116" s="6" t="str">
        <f>IFERROR(__xludf.DUMMYFUNCTION("""COMPUTED_VALUE"""),"アロマ Wix")</f>
        <v>アロマ Wix</v>
      </c>
      <c r="F116" s="10" t="s">
        <v>236</v>
      </c>
    </row>
    <row r="117">
      <c r="A117" s="6" t="str">
        <f t="shared" si="1"/>
        <v>0460</v>
      </c>
      <c r="B117" s="6" t="str">
        <f>IFERROR(__xludf.DUMMYFUNCTION("""COMPUTED_VALUE"""),"ROU")</f>
        <v>ROU</v>
      </c>
      <c r="C117" s="7" t="str">
        <f>IFERROR(__xludf.DUMMYFUNCTION("""COMPUTED_VALUE"""),"https://rou2024.amebaownd.com/")</f>
        <v>https://rou2024.amebaownd.com/</v>
      </c>
      <c r="D117" s="6" t="str">
        <f>IFERROR(__xludf.DUMMYFUNCTION("""COMPUTED_VALUE"""),"△")</f>
        <v>△</v>
      </c>
      <c r="E117" s="6" t="str">
        <f>IFERROR(__xludf.DUMMYFUNCTION("""COMPUTED_VALUE"""),"ヒーリング Ownd")</f>
        <v>ヒーリング Ownd</v>
      </c>
      <c r="F117" s="10" t="s">
        <v>237</v>
      </c>
    </row>
    <row r="118">
      <c r="A118" s="6" t="str">
        <f t="shared" si="1"/>
        <v>0461</v>
      </c>
      <c r="B118" s="6" t="str">
        <f>IFERROR(__xludf.DUMMYFUNCTION("""COMPUTED_VALUE"""),"private salon Ladouce")</f>
        <v>private salon Ladouce</v>
      </c>
      <c r="C118" s="7" t="str">
        <f>IFERROR(__xludf.DUMMYFUNCTION("""COMPUTED_VALUE"""),"https://ladouce20180925.amebaownd.com/")</f>
        <v>https://ladouce20180925.amebaownd.com/</v>
      </c>
      <c r="D118" s="6" t="str">
        <f>IFERROR(__xludf.DUMMYFUNCTION("""COMPUTED_VALUE"""),"△")</f>
        <v>△</v>
      </c>
      <c r="E118" s="6" t="str">
        <f>IFERROR(__xludf.DUMMYFUNCTION("""COMPUTED_VALUE"""),"エステ Ownd")</f>
        <v>エステ Ownd</v>
      </c>
      <c r="F118" s="10" t="s">
        <v>238</v>
      </c>
    </row>
    <row r="119">
      <c r="A119" s="6" t="str">
        <f t="shared" si="1"/>
        <v>0462</v>
      </c>
      <c r="B119" s="6" t="str">
        <f>IFERROR(__xludf.DUMMYFUNCTION("""COMPUTED_VALUE"""),"ヒーリングサロン kisara")</f>
        <v>ヒーリングサロン kisara</v>
      </c>
      <c r="C119" s="7" t="str">
        <f>IFERROR(__xludf.DUMMYFUNCTION("""COMPUTED_VALUE"""),"http://kisarahealing.com/")</f>
        <v>http://kisarahealing.com/</v>
      </c>
      <c r="D119" s="6" t="str">
        <f>IFERROR(__xludf.DUMMYFUNCTION("""COMPUTED_VALUE"""),"△")</f>
        <v>△</v>
      </c>
      <c r="E119" s="6" t="str">
        <f>IFERROR(__xludf.DUMMYFUNCTION("""COMPUTED_VALUE"""),"デザインが古く更新感乏しい")</f>
        <v>デザインが古く更新感乏しい</v>
      </c>
      <c r="F119" s="10" t="s">
        <v>239</v>
      </c>
    </row>
    <row r="120">
      <c r="A120" s="6" t="str">
        <f t="shared" si="1"/>
        <v>0463</v>
      </c>
      <c r="B120" s="6" t="str">
        <f>IFERROR(__xludf.DUMMYFUNCTION("""COMPUTED_VALUE"""),"セラピールームルルド")</f>
        <v>セラピールームルルド</v>
      </c>
      <c r="C120" s="7" t="str">
        <f>IFERROR(__xludf.DUMMYFUNCTION("""COMPUTED_VALUE"""),"https://rurudo1618.jimdofree.com/")</f>
        <v>https://rurudo1618.jimdofree.com/</v>
      </c>
      <c r="D120" s="6" t="str">
        <f>IFERROR(__xludf.DUMMYFUNCTION("""COMPUTED_VALUE"""),"△")</f>
        <v>△</v>
      </c>
      <c r="E120" s="6" t="str">
        <f>IFERROR(__xludf.DUMMYFUNCTION("""COMPUTED_VALUE"""),"Jimdo無料版で構成が簡易")</f>
        <v>Jimdo無料版で構成が簡易</v>
      </c>
      <c r="F120" s="10" t="s">
        <v>240</v>
      </c>
    </row>
    <row r="121">
      <c r="A121" s="6" t="str">
        <f t="shared" si="1"/>
        <v>0464</v>
      </c>
      <c r="B121" s="6" t="str">
        <f>IFERROR(__xludf.DUMMYFUNCTION("""COMPUTED_VALUE"""),"Healing Honon")</f>
        <v>Healing Honon</v>
      </c>
      <c r="C121" s="7" t="str">
        <f>IFERROR(__xludf.DUMMYFUNCTION("""COMPUTED_VALUE"""),"http://healing-hanon.com/")</f>
        <v>http://healing-hanon.com/</v>
      </c>
      <c r="D121" s="6" t="str">
        <f>IFERROR(__xludf.DUMMYFUNCTION("""COMPUTED_VALUE"""),"△")</f>
        <v>△</v>
      </c>
      <c r="E121" s="6" t="str">
        <f>IFERROR(__xludf.DUMMYFUNCTION("""COMPUTED_VALUE"""),"非常にシンプルで情報量不足")</f>
        <v>非常にシンプルで情報量不足</v>
      </c>
      <c r="F121" s="10" t="s">
        <v>241</v>
      </c>
    </row>
    <row r="122">
      <c r="A122" s="6" t="str">
        <f t="shared" si="1"/>
        <v>0465</v>
      </c>
      <c r="B122" s="6" t="str">
        <f>IFERROR(__xludf.DUMMYFUNCTION("""COMPUTED_VALUE"""),"森の癒し処まにまに")</f>
        <v>森の癒し処まにまに</v>
      </c>
      <c r="C122" s="7" t="str">
        <f>IFERROR(__xludf.DUMMYFUNCTION("""COMPUTED_VALUE"""),"http://manimani-fuchu.com/")</f>
        <v>http://manimani-fuchu.com/</v>
      </c>
      <c r="D122" s="6" t="str">
        <f>IFERROR(__xludf.DUMMYFUNCTION("""COMPUTED_VALUE"""),"△")</f>
        <v>△</v>
      </c>
      <c r="E122" s="6" t="str">
        <f>IFERROR(__xludf.DUMMYFUNCTION("""COMPUTED_VALUE"""),"旧世代デザインで未整備")</f>
        <v>旧世代デザインで未整備</v>
      </c>
      <c r="F122" s="10" t="s">
        <v>242</v>
      </c>
    </row>
    <row r="123">
      <c r="A123" s="6" t="str">
        <f t="shared" si="1"/>
        <v>0466</v>
      </c>
      <c r="B123" s="6" t="str">
        <f>IFERROR(__xludf.DUMMYFUNCTION("""COMPUTED_VALUE"""),"claire")</f>
        <v>claire</v>
      </c>
      <c r="C123" s="7" t="str">
        <f>IFERROR(__xludf.DUMMYFUNCTION("""COMPUTED_VALUE"""),"https://claire2021.amebaownd.com/")</f>
        <v>https://claire2021.amebaownd.com/</v>
      </c>
      <c r="D123" s="6" t="str">
        <f>IFERROR(__xludf.DUMMYFUNCTION("""COMPUTED_VALUE"""),"△")</f>
        <v>△</v>
      </c>
      <c r="E123" s="6" t="str">
        <f>IFERROR(__xludf.DUMMYFUNCTION("""COMPUTED_VALUE"""),"Ameba Ownd標準テンプレ")</f>
        <v>Ameba Ownd標準テンプレ</v>
      </c>
      <c r="F123" s="10" t="s">
        <v>243</v>
      </c>
    </row>
    <row r="124">
      <c r="A124" s="6" t="str">
        <f t="shared" si="1"/>
        <v>0467</v>
      </c>
      <c r="B124" s="6" t="str">
        <f>IFERROR(__xludf.DUMMYFUNCTION("""COMPUTED_VALUE"""),"なかやまうんすい事務所")</f>
        <v>なかやまうんすい事務所</v>
      </c>
      <c r="C124" s="7" t="str">
        <f>IFERROR(__xludf.DUMMYFUNCTION("""COMPUTED_VALUE"""),"http://www.un-sui.com/")</f>
        <v>http://www.un-sui.com/</v>
      </c>
      <c r="D124" s="6" t="str">
        <f>IFERROR(__xludf.DUMMYFUNCTION("""COMPUTED_VALUE"""),"△")</f>
        <v>△</v>
      </c>
      <c r="E124" s="6" t="str">
        <f>IFERROR(__xludf.DUMMYFUNCTION("""COMPUTED_VALUE"""),"長期間更新が見られない")</f>
        <v>長期間更新が見られない</v>
      </c>
      <c r="F124" s="10" t="s">
        <v>244</v>
      </c>
    </row>
    <row r="125">
      <c r="A125" s="6" t="str">
        <f t="shared" si="1"/>
        <v>0468</v>
      </c>
      <c r="B125" s="6" t="str">
        <f>IFERROR(__xludf.DUMMYFUNCTION("""COMPUTED_VALUE"""),"府中そるぶ治療院")</f>
        <v>府中そるぶ治療院</v>
      </c>
      <c r="C125" s="7" t="str">
        <f>IFERROR(__xludf.DUMMYFUNCTION("""COMPUTED_VALUE"""),"http://www.uzurasolve.jp/")</f>
        <v>http://www.uzurasolve.jp/</v>
      </c>
      <c r="D125" s="6" t="str">
        <f>IFERROR(__xludf.DUMMYFUNCTION("""COMPUTED_VALUE"""),"△")</f>
        <v>△</v>
      </c>
      <c r="E125" s="6" t="str">
        <f>IFERROR(__xludf.DUMMYFUNCTION("""COMPUTED_VALUE"""),"古い構成でスマホ非対応")</f>
        <v>古い構成でスマホ非対応</v>
      </c>
      <c r="F125" s="10" t="s">
        <v>245</v>
      </c>
    </row>
    <row r="126">
      <c r="A126" s="6" t="str">
        <f t="shared" si="1"/>
        <v>0469</v>
      </c>
      <c r="B126" s="6" t="str">
        <f>IFERROR(__xludf.DUMMYFUNCTION("""COMPUTED_VALUE"""),"Full Bloom")</f>
        <v>Full Bloom</v>
      </c>
      <c r="C126" s="7" t="str">
        <f>IFERROR(__xludf.DUMMYFUNCTION("""COMPUTED_VALUE"""),"https://fullbloomkumi.wixsite.com/home")</f>
        <v>https://fullbloomkumi.wixsite.com/home</v>
      </c>
      <c r="D126" s="6" t="str">
        <f>IFERROR(__xludf.DUMMYFUNCTION("""COMPUTED_VALUE"""),"△")</f>
        <v>△</v>
      </c>
      <c r="E126" s="6" t="str">
        <f>IFERROR(__xludf.DUMMYFUNCTION("""COMPUTED_VALUE"""),"Wix無料ドメインで訴求力弱い")</f>
        <v>Wix無料ドメインで訴求力弱い</v>
      </c>
      <c r="F126" s="10" t="s">
        <v>246</v>
      </c>
    </row>
    <row r="127">
      <c r="A127" s="6" t="str">
        <f t="shared" si="1"/>
        <v>0470</v>
      </c>
      <c r="B127" s="6" t="str">
        <f>IFERROR(__xludf.DUMMYFUNCTION("""COMPUTED_VALUE"""),"ROU")</f>
        <v>ROU</v>
      </c>
      <c r="C127" s="7" t="str">
        <f>IFERROR(__xludf.DUMMYFUNCTION("""COMPUTED_VALUE"""),"https://rou2024.amebaownd.com/")</f>
        <v>https://rou2024.amebaownd.com/</v>
      </c>
      <c r="D127" s="6" t="str">
        <f>IFERROR(__xludf.DUMMYFUNCTION("""COMPUTED_VALUE"""),"△")</f>
        <v>△</v>
      </c>
      <c r="E127" s="6" t="str">
        <f>IFERROR(__xludf.DUMMYFUNCTION("""COMPUTED_VALUE"""),"Ownd利用でコンテンツ薄い")</f>
        <v>Ownd利用でコンテンツ薄い</v>
      </c>
      <c r="F127" s="10" t="s">
        <v>247</v>
      </c>
    </row>
    <row r="128">
      <c r="A128" s="6" t="str">
        <f t="shared" si="1"/>
        <v>0471</v>
      </c>
      <c r="B128" s="6" t="str">
        <f>IFERROR(__xludf.DUMMYFUNCTION("""COMPUTED_VALUE"""),"private salon Ladouce")</f>
        <v>private salon Ladouce</v>
      </c>
      <c r="C128" s="7" t="str">
        <f>IFERROR(__xludf.DUMMYFUNCTION("""COMPUTED_VALUE"""),"https://ladouce20180925.amebaownd.com/")</f>
        <v>https://ladouce20180925.amebaownd.com/</v>
      </c>
      <c r="D128" s="6" t="str">
        <f>IFERROR(__xludf.DUMMYFUNCTION("""COMPUTED_VALUE"""),"△")</f>
        <v>△</v>
      </c>
      <c r="E128" s="6" t="str">
        <f>IFERROR(__xludf.DUMMYFUNCTION("""COMPUTED_VALUE"""),"Ownd利用でデザイン課題")</f>
        <v>Ownd利用でデザイン課題</v>
      </c>
      <c r="F128" s="10" t="s">
        <v>248</v>
      </c>
    </row>
    <row r="129">
      <c r="A129" s="6" t="str">
        <f t="shared" si="1"/>
        <v>0472</v>
      </c>
      <c r="B129" s="6" t="str">
        <f>IFERROR(__xludf.DUMMYFUNCTION("""COMPUTED_VALUE"""),"スピリチュアルヒーリングサロン 葵")</f>
        <v>スピリチュアルヒーリングサロン 葵</v>
      </c>
      <c r="C129" s="7" t="str">
        <f>IFERROR(__xludf.DUMMYFUNCTION("""COMPUTED_VALUE"""),"https://hollyhock.amebaownd.com/")</f>
        <v>https://hollyhock.amebaownd.com/</v>
      </c>
      <c r="D129" s="6" t="str">
        <f>IFERROR(__xludf.DUMMYFUNCTION("""COMPUTED_VALUE"""),"△")</f>
        <v>△</v>
      </c>
      <c r="E129" s="6" t="str">
        <f>IFERROR(__xludf.DUMMYFUNCTION("""COMPUTED_VALUE"""),"休止表示あり放置気味")</f>
        <v>休止表示あり放置気味</v>
      </c>
      <c r="F129" s="10" t="s">
        <v>249</v>
      </c>
    </row>
    <row r="130">
      <c r="A130" s="6" t="str">
        <f t="shared" si="1"/>
        <v>0473</v>
      </c>
      <c r="B130" s="6" t="str">
        <f>IFERROR(__xludf.DUMMYFUNCTION("""COMPUTED_VALUE"""),"アロマサロンふわり")</f>
        <v>アロマサロンふわり</v>
      </c>
      <c r="C130" s="7" t="str">
        <f>IFERROR(__xludf.DUMMYFUNCTION("""COMPUTED_VALUE"""),"https://www.aroma-fuwari.co/")</f>
        <v>https://www.aroma-fuwari.co/</v>
      </c>
      <c r="D130" s="6" t="str">
        <f>IFERROR(__xludf.DUMMYFUNCTION("""COMPUTED_VALUE"""),"△")</f>
        <v>△</v>
      </c>
      <c r="E130" s="6" t="str">
        <f>IFERROR(__xludf.DUMMYFUNCTION("""COMPUTED_VALUE"""),"Wix利用で独自性が低い")</f>
        <v>Wix利用で独自性が低い</v>
      </c>
      <c r="F130" s="10" t="s">
        <v>250</v>
      </c>
    </row>
    <row r="131">
      <c r="A131" s="6" t="str">
        <f t="shared" si="1"/>
        <v>0474</v>
      </c>
      <c r="B131" s="6" t="str">
        <f>IFERROR(__xludf.DUMMYFUNCTION("""COMPUTED_VALUE"""),"2B TAMAKI")</f>
        <v>2B TAMAKI</v>
      </c>
      <c r="C131" s="7" t="str">
        <f>IFERROR(__xludf.DUMMYFUNCTION("""COMPUTED_VALUE"""),"https://2btamaki.jimdofree.com/")</f>
        <v>https://2btamaki.jimdofree.com/</v>
      </c>
      <c r="D131" s="6" t="str">
        <f>IFERROR(__xludf.DUMMYFUNCTION("""COMPUTED_VALUE"""),"△")</f>
        <v>△</v>
      </c>
      <c r="E131" s="6" t="str">
        <f>IFERROR(__xludf.DUMMYFUNCTION("""COMPUTED_VALUE"""),"Jimdo利用でレイアウト不安定")</f>
        <v>Jimdo利用でレイアウト不安定</v>
      </c>
      <c r="F131" s="10" t="s">
        <v>251</v>
      </c>
    </row>
    <row r="132">
      <c r="A132" s="6" t="str">
        <f t="shared" si="1"/>
        <v>0475</v>
      </c>
      <c r="B132" s="6" t="str">
        <f>IFERROR(__xludf.DUMMYFUNCTION("""COMPUTED_VALUE"""),"Relaxation salon phiphi")</f>
        <v>Relaxation salon phiphi</v>
      </c>
      <c r="C132" s="7" t="str">
        <f>IFERROR(__xludf.DUMMYFUNCTION("""COMPUTED_VALUE"""),"https://phiphi-fuchu.amebaownd.com/")</f>
        <v>https://phiphi-fuchu.amebaownd.com/</v>
      </c>
      <c r="D132" s="6" t="str">
        <f>IFERROR(__xludf.DUMMYFUNCTION("""COMPUTED_VALUE"""),"△")</f>
        <v>△</v>
      </c>
      <c r="E132" s="6" t="str">
        <f>IFERROR(__xludf.DUMMYFUNCTION("""COMPUTED_VALUE"""),"情報整理不足")</f>
        <v>情報整理不足</v>
      </c>
      <c r="F132" s="10" t="s">
        <v>252</v>
      </c>
    </row>
    <row r="133">
      <c r="A133" s="6" t="str">
        <f t="shared" si="1"/>
        <v>0476</v>
      </c>
      <c r="B133" s="6" t="str">
        <f>IFERROR(__xludf.DUMMYFUNCTION("""COMPUTED_VALUE"""),"美養療術セレンテ")</f>
        <v>美養療術セレンテ</v>
      </c>
      <c r="C133" s="7" t="str">
        <f>IFERROR(__xludf.DUMMYFUNCTION("""COMPUTED_VALUE"""),"https://serenite.live-web.jp/")</f>
        <v>https://serenite.live-web.jp/</v>
      </c>
      <c r="D133" s="6" t="str">
        <f>IFERROR(__xludf.DUMMYFUNCTION("""COMPUTED_VALUE"""),"△")</f>
        <v>△</v>
      </c>
      <c r="E133" s="6" t="str">
        <f>IFERROR(__xludf.DUMMYFUNCTION("""COMPUTED_VALUE"""),"デザインが古く訴求力弱い")</f>
        <v>デザインが古く訴求力弱い</v>
      </c>
      <c r="F133" s="10" t="s">
        <v>253</v>
      </c>
    </row>
    <row r="134">
      <c r="A134" s="6" t="str">
        <f t="shared" si="1"/>
        <v>0477</v>
      </c>
      <c r="B134" s="6" t="str">
        <f>IFERROR(__xludf.DUMMYFUNCTION("""COMPUTED_VALUE"""),"なかやまうんすい事務所")</f>
        <v>なかやまうんすい事務所</v>
      </c>
      <c r="C134" s="7" t="str">
        <f>IFERROR(__xludf.DUMMYFUNCTION("""COMPUTED_VALUE"""),"http://www.un-sui.com/")</f>
        <v>http://www.un-sui.com/</v>
      </c>
      <c r="D134" s="6" t="str">
        <f>IFERROR(__xludf.DUMMYFUNCTION("""COMPUTED_VALUE"""),"△")</f>
        <v>△</v>
      </c>
      <c r="E134" s="6" t="str">
        <f>IFERROR(__xludf.DUMMYFUNCTION("""COMPUTED_VALUE"""),"2020年以降の更新がなくデザインが古い")</f>
        <v>2020年以降の更新がなくデザインが古い</v>
      </c>
      <c r="F134" s="10" t="s">
        <v>254</v>
      </c>
    </row>
    <row r="135">
      <c r="A135" s="6" t="str">
        <f t="shared" si="1"/>
        <v>0478</v>
      </c>
      <c r="B135" s="6" t="str">
        <f>IFERROR(__xludf.DUMMYFUNCTION("""COMPUTED_VALUE"""),"i-ze(いーぜ)")</f>
        <v>i-ze(いーぜ)</v>
      </c>
      <c r="C135" s="7" t="str">
        <f>IFERROR(__xludf.DUMMYFUNCTION("""COMPUTED_VALUE"""),"https://peraichi.com/landing_pages/view/izeyamane/")</f>
        <v>https://peraichi.com/landing_pages/view/izeyamane/</v>
      </c>
      <c r="D135" s="6" t="str">
        <f>IFERROR(__xludf.DUMMYFUNCTION("""COMPUTED_VALUE"""),"△")</f>
        <v>△</v>
      </c>
      <c r="E135" s="6" t="str">
        <f>IFERROR(__xludf.DUMMYFUNCTION("""COMPUTED_VALUE"""),"ペライチ無料版で構成が非常に簡易")</f>
        <v>ペライチ無料版で構成が非常に簡易</v>
      </c>
      <c r="F135" s="10" t="s">
        <v>255</v>
      </c>
    </row>
    <row r="136">
      <c r="A136" s="6" t="str">
        <f t="shared" si="1"/>
        <v>0479</v>
      </c>
      <c r="B136" s="6" t="str">
        <f>IFERROR(__xludf.DUMMYFUNCTION("""COMPUTED_VALUE"""),"ノルニルの部屋")</f>
        <v>ノルニルの部屋</v>
      </c>
      <c r="C136" s="7" t="str">
        <f>IFERROR(__xludf.DUMMYFUNCTION("""COMPUTED_VALUE"""),"https://nornir-room.com/")</f>
        <v>https://nornir-room.com/</v>
      </c>
      <c r="D136" s="6" t="str">
        <f>IFERROR(__xludf.DUMMYFUNCTION("""COMPUTED_VALUE"""),"△")</f>
        <v>△</v>
      </c>
      <c r="E136" s="6" t="str">
        <f>IFERROR(__xludf.DUMMYFUNCTION("""COMPUTED_VALUE"""),"デザインが旧世代的")</f>
        <v>デザインが旧世代的</v>
      </c>
      <c r="F136" s="10" t="s">
        <v>256</v>
      </c>
    </row>
    <row r="137">
      <c r="A137" s="6" t="str">
        <f t="shared" si="1"/>
        <v>0480</v>
      </c>
      <c r="B137" s="6" t="str">
        <f>IFERROR(__xludf.DUMMYFUNCTION("""COMPUTED_VALUE"""),"ヒーリングサロン 葵")</f>
        <v>ヒーリングサロン 葵</v>
      </c>
      <c r="C137" s="7" t="str">
        <f>IFERROR(__xludf.DUMMYFUNCTION("""COMPUTED_VALUE"""),"https://hollyhock.amebaownd.com/")</f>
        <v>https://hollyhock.amebaownd.com/</v>
      </c>
      <c r="D137" s="6" t="str">
        <f>IFERROR(__xludf.DUMMYFUNCTION("""COMPUTED_VALUE"""),"△")</f>
        <v>△</v>
      </c>
      <c r="E137" s="6" t="str">
        <f>IFERROR(__xludf.DUMMYFUNCTION("""COMPUTED_VALUE"""),"Ownd利用で更新が古く放置気味")</f>
        <v>Ownd利用で更新が古く放置気味</v>
      </c>
      <c r="F137" s="10" t="s">
        <v>257</v>
      </c>
    </row>
    <row r="138">
      <c r="A138" s="6" t="str">
        <f t="shared" si="1"/>
        <v>0481</v>
      </c>
      <c r="B138" s="6" t="str">
        <f>IFERROR(__xludf.DUMMYFUNCTION("""COMPUTED_VALUE"""),"2B TAMAKI")</f>
        <v>2B TAMAKI</v>
      </c>
      <c r="C138" s="7" t="str">
        <f>IFERROR(__xludf.DUMMYFUNCTION("""COMPUTED_VALUE"""),"https://2btamaki.jimdofree.com/")</f>
        <v>https://2btamaki.jimdofree.com/</v>
      </c>
      <c r="D138" s="6" t="str">
        <f>IFERROR(__xludf.DUMMYFUNCTION("""COMPUTED_VALUE"""),"△")</f>
        <v>△</v>
      </c>
      <c r="E138" s="6" t="str">
        <f>IFERROR(__xludf.DUMMYFUNCTION("""COMPUTED_VALUE"""),"Jimdo利用でレイアウト未整備")</f>
        <v>Jimdo利用でレイアウト未整備</v>
      </c>
      <c r="F138" s="10" t="s">
        <v>258</v>
      </c>
    </row>
    <row r="139">
      <c r="A139" s="6" t="str">
        <f t="shared" si="1"/>
        <v>0482</v>
      </c>
      <c r="B139" s="6" t="str">
        <f>IFERROR(__xludf.DUMMYFUNCTION("""COMPUTED_VALUE"""),"Relaxation salon phiphi")</f>
        <v>Relaxation salon phiphi</v>
      </c>
      <c r="C139" s="7" t="str">
        <f>IFERROR(__xludf.DUMMYFUNCTION("""COMPUTED_VALUE"""),"https://phiphi-fuchu.amebaownd.com/")</f>
        <v>https://phiphi-fuchu.amebaownd.com/</v>
      </c>
      <c r="D139" s="6" t="str">
        <f>IFERROR(__xludf.DUMMYFUNCTION("""COMPUTED_VALUE"""),"△")</f>
        <v>△</v>
      </c>
      <c r="E139" s="6" t="str">
        <f>IFERROR(__xludf.DUMMYFUNCTION("""COMPUTED_VALUE"""),"情報整理不足で弱い")</f>
        <v>情報整理不足で弱い</v>
      </c>
      <c r="F139" s="10" t="s">
        <v>259</v>
      </c>
    </row>
    <row r="140">
      <c r="A140" s="6" t="str">
        <f t="shared" si="1"/>
        <v>0483</v>
      </c>
      <c r="B140" s="6" t="str">
        <f>IFERROR(__xludf.DUMMYFUNCTION("""COMPUTED_VALUE"""),"美養療術セレンテ")</f>
        <v>美養療術セレンテ</v>
      </c>
      <c r="C140" s="7" t="str">
        <f>IFERROR(__xludf.DUMMYFUNCTION("""COMPUTED_VALUE"""),"https://serenite.live-web.jp/")</f>
        <v>https://serenite.live-web.jp/</v>
      </c>
      <c r="D140" s="6" t="str">
        <f>IFERROR(__xludf.DUMMYFUNCTION("""COMPUTED_VALUE"""),"△")</f>
        <v>△</v>
      </c>
      <c r="E140" s="6" t="str">
        <f>IFERROR(__xludf.DUMMYFUNCTION("""COMPUTED_VALUE"""),"デザインが古くスマホ対応不十分")</f>
        <v>デザインが古くスマホ対応不十分</v>
      </c>
      <c r="F140" s="10" t="s">
        <v>260</v>
      </c>
    </row>
    <row r="141">
      <c r="A141" s="6" t="str">
        <f t="shared" si="1"/>
        <v>0484</v>
      </c>
      <c r="B141" s="6" t="str">
        <f>IFERROR(__xludf.DUMMYFUNCTION("""COMPUTED_VALUE"""),"private salon Ladouce")</f>
        <v>private salon Ladouce</v>
      </c>
      <c r="C141" s="7" t="str">
        <f>IFERROR(__xludf.DUMMYFUNCTION("""COMPUTED_VALUE"""),"https://ladouce20180925.amebaownd.com/")</f>
        <v>https://ladouce20180925.amebaownd.com/</v>
      </c>
      <c r="D141" s="6" t="str">
        <f>IFERROR(__xludf.DUMMYFUNCTION("""COMPUTED_VALUE"""),"△")</f>
        <v>△</v>
      </c>
      <c r="E141" s="6" t="str">
        <f>IFERROR(__xludf.DUMMYFUNCTION("""COMPUTED_VALUE"""),"Owndテンプレのままで訴求力不足")</f>
        <v>Owndテンプレのままで訴求力不足</v>
      </c>
      <c r="F141" s="10" t="s">
        <v>261</v>
      </c>
    </row>
    <row r="142">
      <c r="A142" s="6" t="str">
        <f t="shared" si="1"/>
        <v>0485</v>
      </c>
      <c r="B142" s="6" t="str">
        <f>IFERROR(__xludf.DUMMYFUNCTION("""COMPUTED_VALUE"""),"ROU")</f>
        <v>ROU</v>
      </c>
      <c r="C142" s="7" t="str">
        <f>IFERROR(__xludf.DUMMYFUNCTION("""COMPUTED_VALUE"""),"https://rou2024.amebaownd.com/")</f>
        <v>https://rou2024.amebaownd.com/</v>
      </c>
      <c r="D142" s="6" t="str">
        <f>IFERROR(__xludf.DUMMYFUNCTION("""COMPUTED_VALUE"""),"△")</f>
        <v>△</v>
      </c>
      <c r="E142" s="6" t="str">
        <f>IFERROR(__xludf.DUMMYFUNCTION("""COMPUTED_VALUE"""),"Ownd利用でコンテンツが極めて薄い")</f>
        <v>Ownd利用でコンテンツが極めて薄い</v>
      </c>
      <c r="F142" s="10" t="s">
        <v>262</v>
      </c>
    </row>
    <row r="143">
      <c r="A143" s="6" t="str">
        <f t="shared" si="1"/>
        <v>0486</v>
      </c>
      <c r="B143" s="6" t="str">
        <f>IFERROR(__xludf.DUMMYFUNCTION("""COMPUTED_VALUE"""),"Full Bloom")</f>
        <v>Full Bloom</v>
      </c>
      <c r="C143" s="7" t="str">
        <f>IFERROR(__xludf.DUMMYFUNCTION("""COMPUTED_VALUE"""),"https://fullbloomkumi.wixsite.com/home")</f>
        <v>https://fullbloomkumi.wixsite.com/home</v>
      </c>
      <c r="D143" s="6" t="str">
        <f>IFERROR(__xludf.DUMMYFUNCTION("""COMPUTED_VALUE"""),"△")</f>
        <v>△</v>
      </c>
      <c r="E143" s="6" t="str">
        <f>IFERROR(__xludf.DUMMYFUNCTION("""COMPUTED_VALUE"""),"Wix無料版で独自ドメインでない")</f>
        <v>Wix無料版で独自ドメインでない</v>
      </c>
      <c r="F143" s="10" t="s">
        <v>263</v>
      </c>
    </row>
    <row r="144">
      <c r="A144" s="6" t="str">
        <f t="shared" si="1"/>
        <v>0487</v>
      </c>
      <c r="B144" s="6" t="str">
        <f>IFERROR(__xludf.DUMMYFUNCTION("""COMPUTED_VALUE"""),"アロマサロンふわり")</f>
        <v>アロマサロンふわり</v>
      </c>
      <c r="C144" s="7" t="str">
        <f>IFERROR(__xludf.DUMMYFUNCTION("""COMPUTED_VALUE"""),"https://www.aroma-fuwari.co/")</f>
        <v>https://www.aroma-fuwari.co/</v>
      </c>
      <c r="D144" s="6" t="str">
        <f>IFERROR(__xludf.DUMMYFUNCTION("""COMPUTED_VALUE"""),"△")</f>
        <v>△</v>
      </c>
      <c r="E144" s="6" t="str">
        <f>IFERROR(__xludf.DUMMYFUNCTION("""COMPUTED_VALUE"""),"Wix利用で独自性が低い")</f>
        <v>Wix利用で独自性が低い</v>
      </c>
      <c r="F144" s="10" t="s">
        <v>264</v>
      </c>
    </row>
    <row r="145">
      <c r="A145" s="6" t="str">
        <f t="shared" si="1"/>
        <v>0488</v>
      </c>
      <c r="B145" s="6" t="str">
        <f>IFERROR(__xludf.DUMMYFUNCTION("""COMPUTED_VALUE"""),"府中そるぶ治療院")</f>
        <v>府中そるぶ治療院</v>
      </c>
      <c r="C145" s="7" t="str">
        <f>IFERROR(__xludf.DUMMYFUNCTION("""COMPUTED_VALUE"""),"http://www.uzurasolve.jp/")</f>
        <v>http://www.uzurasolve.jp/</v>
      </c>
      <c r="D145" s="6" t="str">
        <f>IFERROR(__xludf.DUMMYFUNCTION("""COMPUTED_VALUE"""),"△")</f>
        <v>△</v>
      </c>
      <c r="E145" s="6" t="str">
        <f>IFERROR(__xludf.DUMMYFUNCTION("""COMPUTED_VALUE"""),"古い構成で視認性が低い")</f>
        <v>古い構成で視認性が低い</v>
      </c>
      <c r="F145" s="10" t="s">
        <v>265</v>
      </c>
    </row>
    <row r="146">
      <c r="A146" s="6" t="str">
        <f t="shared" si="1"/>
        <v>0489</v>
      </c>
      <c r="B146" s="6" t="str">
        <f>IFERROR(__xludf.DUMMYFUNCTION("""COMPUTED_VALUE"""),"森の癒し処まにまに")</f>
        <v>森の癒し処まにまに</v>
      </c>
      <c r="C146" s="7" t="str">
        <f>IFERROR(__xludf.DUMMYFUNCTION("""COMPUTED_VALUE"""),"http://manimani-fuchu.com/")</f>
        <v>http://manimani-fuchu.com/</v>
      </c>
      <c r="D146" s="6" t="str">
        <f>IFERROR(__xludf.DUMMYFUNCTION("""COMPUTED_VALUE"""),"△")</f>
        <v>△</v>
      </c>
      <c r="E146" s="6" t="str">
        <f>IFERROR(__xludf.DUMMYFUNCTION("""COMPUTED_VALUE"""),"旧世代デザインで更新停止")</f>
        <v>旧世代デザインで更新停止</v>
      </c>
      <c r="F146" s="10" t="s">
        <v>266</v>
      </c>
    </row>
    <row r="147">
      <c r="A147" s="6" t="str">
        <f t="shared" si="1"/>
        <v>0490</v>
      </c>
      <c r="B147" s="6" t="str">
        <f>IFERROR(__xludf.DUMMYFUNCTION("""COMPUTED_VALUE"""),"Healing Honon")</f>
        <v>Healing Honon</v>
      </c>
      <c r="C147" s="7" t="str">
        <f>IFERROR(__xludf.DUMMYFUNCTION("""COMPUTED_VALUE"""),"http://healing-hanon.com/")</f>
        <v>http://healing-hanon.com/</v>
      </c>
      <c r="D147" s="6" t="str">
        <f>IFERROR(__xludf.DUMMYFUNCTION("""COMPUTED_VALUE"""),"△")</f>
        <v>△</v>
      </c>
      <c r="E147" s="6" t="str">
        <f>IFERROR(__xludf.DUMMYFUNCTION("""COMPUTED_VALUE"""),"非常にシンプルで情報不足")</f>
        <v>非常にシンプルで情報不足</v>
      </c>
      <c r="F147" s="10" t="s">
        <v>267</v>
      </c>
    </row>
    <row r="148">
      <c r="A148" s="6" t="str">
        <f t="shared" si="1"/>
        <v>0491</v>
      </c>
      <c r="B148" s="6" t="str">
        <f>IFERROR(__xludf.DUMMYFUNCTION("""COMPUTED_VALUE"""),"セラピールームルルド")</f>
        <v>セラピールームルルド</v>
      </c>
      <c r="C148" s="7" t="str">
        <f>IFERROR(__xludf.DUMMYFUNCTION("""COMPUTED_VALUE"""),"https://rurudo1618.jimdofree.com/")</f>
        <v>https://rurudo1618.jimdofree.com/</v>
      </c>
      <c r="D148" s="6" t="str">
        <f>IFERROR(__xludf.DUMMYFUNCTION("""COMPUTED_VALUE"""),"△")</f>
        <v>△</v>
      </c>
      <c r="E148" s="6" t="str">
        <f>IFERROR(__xludf.DUMMYFUNCTION("""COMPUTED_VALUE"""),"Jimdo無料版で構成が簡易")</f>
        <v>Jimdo無料版で構成が簡易</v>
      </c>
      <c r="F148" s="10" t="s">
        <v>268</v>
      </c>
    </row>
    <row r="149">
      <c r="A149" s="6" t="str">
        <f t="shared" si="1"/>
        <v>0492</v>
      </c>
      <c r="B149" s="6" t="str">
        <f>IFERROR(__xludf.DUMMYFUNCTION("""COMPUTED_VALUE"""),"ヒーリングサロン kisara")</f>
        <v>ヒーリングサロン kisara</v>
      </c>
      <c r="C149" s="7" t="str">
        <f>IFERROR(__xludf.DUMMYFUNCTION("""COMPUTED_VALUE"""),"http://kisarahealing.com/")</f>
        <v>http://kisarahealing.com/</v>
      </c>
      <c r="D149" s="6" t="str">
        <f>IFERROR(__xludf.DUMMYFUNCTION("""COMPUTED_VALUE"""),"△")</f>
        <v>△</v>
      </c>
      <c r="E149" s="6" t="str">
        <f>IFERROR(__xludf.DUMMYFUNCTION("""COMPUTED_VALUE"""),"デザインが古く集客に不向き")</f>
        <v>デザインが古く集客に不向き</v>
      </c>
      <c r="F149" s="10" t="s">
        <v>269</v>
      </c>
    </row>
    <row r="150">
      <c r="A150" s="11"/>
      <c r="B150" s="11"/>
    </row>
    <row r="151">
      <c r="A151" s="4"/>
      <c r="B151" s="4"/>
      <c r="C151" s="12"/>
      <c r="D151" s="4"/>
      <c r="E151" s="4"/>
    </row>
    <row r="152">
      <c r="A152" s="4"/>
      <c r="B152" s="4"/>
      <c r="C152" s="12"/>
      <c r="D152" s="4"/>
      <c r="E152" s="4"/>
    </row>
    <row r="153">
      <c r="A153" s="4"/>
      <c r="B153" s="4"/>
      <c r="C153" s="12"/>
      <c r="D153" s="4"/>
      <c r="E153" s="4"/>
    </row>
    <row r="154">
      <c r="A154" s="4"/>
      <c r="B154" s="4"/>
      <c r="C154" s="12"/>
      <c r="D154" s="4"/>
      <c r="E154" s="4"/>
    </row>
    <row r="155">
      <c r="A155" s="4"/>
      <c r="B155" s="4"/>
      <c r="C155" s="12"/>
      <c r="D155" s="4"/>
      <c r="E155" s="4"/>
    </row>
    <row r="156">
      <c r="A156" s="4"/>
      <c r="B156" s="4"/>
      <c r="C156" s="12"/>
      <c r="D156" s="4"/>
      <c r="E156" s="4"/>
    </row>
    <row r="157">
      <c r="A157" s="4"/>
      <c r="B157" s="4"/>
      <c r="C157" s="12"/>
      <c r="D157" s="4"/>
      <c r="E157" s="4"/>
    </row>
    <row r="158">
      <c r="A158" s="4"/>
      <c r="B158" s="4"/>
      <c r="C158" s="12"/>
      <c r="D158" s="4"/>
      <c r="E158" s="4"/>
    </row>
    <row r="159">
      <c r="A159" s="4"/>
      <c r="B159" s="4"/>
      <c r="C159" s="12"/>
      <c r="D159" s="4"/>
      <c r="E159" s="4"/>
    </row>
    <row r="160">
      <c r="A160" s="4"/>
      <c r="B160" s="4"/>
      <c r="C160" s="12"/>
      <c r="D160" s="4"/>
      <c r="E160" s="4"/>
    </row>
    <row r="161">
      <c r="A161" s="4"/>
      <c r="B161" s="4"/>
      <c r="C161" s="12"/>
      <c r="D161" s="4"/>
      <c r="E161" s="4"/>
    </row>
    <row r="162">
      <c r="A162" s="4"/>
      <c r="B162" s="4"/>
      <c r="C162" s="12"/>
      <c r="D162" s="4"/>
      <c r="E162" s="4"/>
    </row>
    <row r="163">
      <c r="A163" s="4"/>
      <c r="B163" s="4"/>
      <c r="C163" s="12"/>
      <c r="D163" s="4"/>
      <c r="E163" s="4"/>
    </row>
    <row r="164">
      <c r="A164" s="4"/>
      <c r="B164" s="4"/>
      <c r="C164" s="12"/>
      <c r="D164" s="4"/>
      <c r="E164" s="4"/>
    </row>
    <row r="165">
      <c r="A165" s="4"/>
      <c r="B165" s="4"/>
      <c r="C165" s="12"/>
      <c r="D165" s="4"/>
      <c r="E165" s="4"/>
    </row>
    <row r="166">
      <c r="A166" s="4"/>
      <c r="B166" s="4"/>
      <c r="C166" s="12"/>
      <c r="D166" s="4"/>
      <c r="E166" s="4"/>
    </row>
    <row r="167">
      <c r="A167" s="4"/>
      <c r="B167" s="4"/>
      <c r="C167" s="12"/>
      <c r="D167" s="4"/>
      <c r="E167" s="4"/>
    </row>
    <row r="168">
      <c r="A168" s="4"/>
      <c r="B168" s="4"/>
      <c r="C168" s="12"/>
      <c r="D168" s="4"/>
      <c r="E168" s="4"/>
    </row>
    <row r="169">
      <c r="A169" s="4"/>
      <c r="B169" s="4"/>
      <c r="C169" s="12"/>
      <c r="D169" s="4"/>
      <c r="E169" s="4"/>
    </row>
    <row r="170">
      <c r="A170" s="4"/>
      <c r="B170" s="4"/>
      <c r="C170" s="12"/>
      <c r="D170" s="4"/>
      <c r="E170" s="4"/>
    </row>
    <row r="171">
      <c r="A171" s="4"/>
      <c r="B171" s="4"/>
      <c r="C171" s="12"/>
      <c r="D171" s="4"/>
      <c r="E171" s="4"/>
    </row>
    <row r="172">
      <c r="A172" s="4"/>
      <c r="B172" s="4"/>
      <c r="C172" s="12"/>
      <c r="D172" s="4"/>
      <c r="E172" s="4"/>
    </row>
    <row r="173">
      <c r="A173" s="4"/>
      <c r="B173" s="4"/>
      <c r="C173" s="12"/>
      <c r="D173" s="4"/>
      <c r="E173" s="4"/>
    </row>
    <row r="174">
      <c r="A174" s="4"/>
      <c r="B174" s="4"/>
      <c r="C174" s="12"/>
      <c r="D174" s="4"/>
      <c r="E174" s="4"/>
    </row>
    <row r="175">
      <c r="A175" s="4"/>
      <c r="B175" s="4"/>
      <c r="C175" s="12"/>
      <c r="D175" s="4"/>
      <c r="E175" s="4"/>
    </row>
    <row r="176">
      <c r="A176" s="4"/>
      <c r="B176" s="4"/>
      <c r="C176" s="12"/>
      <c r="D176" s="4"/>
      <c r="E176" s="4"/>
    </row>
    <row r="177">
      <c r="A177" s="4"/>
      <c r="B177" s="4"/>
      <c r="C177" s="12"/>
      <c r="D177" s="4"/>
      <c r="E177" s="4"/>
    </row>
    <row r="178">
      <c r="A178" s="4"/>
      <c r="B178" s="4"/>
      <c r="C178" s="12"/>
      <c r="D178" s="4"/>
      <c r="E178" s="4"/>
    </row>
    <row r="179">
      <c r="A179" s="4"/>
      <c r="B179" s="4"/>
      <c r="C179" s="12"/>
      <c r="D179" s="4"/>
      <c r="E179" s="4"/>
    </row>
    <row r="180">
      <c r="A180" s="4"/>
      <c r="B180" s="4"/>
      <c r="C180" s="12"/>
      <c r="D180" s="4"/>
      <c r="E180" s="4"/>
    </row>
    <row r="181">
      <c r="A181" s="4"/>
      <c r="B181" s="4"/>
      <c r="C181" s="12"/>
      <c r="D181" s="4"/>
      <c r="E181" s="4"/>
    </row>
    <row r="182">
      <c r="A182" s="4"/>
      <c r="B182" s="4"/>
      <c r="C182" s="12"/>
      <c r="D182" s="4"/>
      <c r="E182" s="4"/>
    </row>
    <row r="183">
      <c r="A183" s="4"/>
      <c r="B183" s="4"/>
      <c r="C183" s="12"/>
      <c r="D183" s="4"/>
      <c r="E183" s="4"/>
    </row>
    <row r="184">
      <c r="A184" s="4"/>
      <c r="B184" s="4"/>
      <c r="C184" s="12"/>
      <c r="D184" s="4"/>
      <c r="E184" s="4"/>
    </row>
    <row r="185">
      <c r="A185" s="4"/>
      <c r="B185" s="4"/>
      <c r="C185" s="12"/>
      <c r="D185" s="4"/>
      <c r="E185" s="4"/>
    </row>
    <row r="186">
      <c r="A186" s="4"/>
      <c r="B186" s="4"/>
      <c r="C186" s="12"/>
      <c r="D186" s="4"/>
      <c r="E186" s="4"/>
    </row>
    <row r="187">
      <c r="A187" s="4"/>
      <c r="B187" s="4"/>
      <c r="C187" s="12"/>
      <c r="D187" s="4"/>
      <c r="E187" s="4"/>
    </row>
    <row r="188">
      <c r="A188" s="4"/>
      <c r="B188" s="4"/>
      <c r="C188" s="12"/>
      <c r="D188" s="4"/>
      <c r="E188" s="4"/>
    </row>
    <row r="189">
      <c r="A189" s="4"/>
      <c r="B189" s="4"/>
      <c r="C189" s="12"/>
      <c r="D189" s="4"/>
      <c r="E189" s="4"/>
    </row>
    <row r="190">
      <c r="A190" s="4"/>
      <c r="B190" s="4"/>
      <c r="C190" s="12"/>
      <c r="D190" s="4"/>
      <c r="E190" s="4"/>
    </row>
    <row r="191">
      <c r="A191" s="4"/>
      <c r="B191" s="4"/>
      <c r="C191" s="12"/>
      <c r="D191" s="4"/>
      <c r="E191" s="4"/>
    </row>
    <row r="192">
      <c r="A192" s="4"/>
      <c r="B192" s="4"/>
      <c r="C192" s="12"/>
      <c r="D192" s="4"/>
      <c r="E192" s="4"/>
    </row>
    <row r="193">
      <c r="A193" s="4"/>
      <c r="B193" s="4"/>
      <c r="C193" s="12"/>
      <c r="D193" s="4"/>
      <c r="E193" s="4"/>
    </row>
    <row r="194">
      <c r="A194" s="4"/>
      <c r="B194" s="4"/>
      <c r="C194" s="12"/>
      <c r="D194" s="4"/>
      <c r="E194" s="4"/>
    </row>
    <row r="195">
      <c r="A195" s="4"/>
      <c r="B195" s="4"/>
      <c r="C195" s="12"/>
      <c r="D195" s="4"/>
      <c r="E195" s="4"/>
    </row>
    <row r="196">
      <c r="A196" s="4"/>
      <c r="B196" s="4"/>
      <c r="C196" s="12"/>
      <c r="D196" s="4"/>
      <c r="E196" s="4"/>
    </row>
    <row r="197">
      <c r="A197" s="4"/>
      <c r="B197" s="4"/>
      <c r="C197" s="12"/>
      <c r="D197" s="4"/>
      <c r="E197" s="4"/>
    </row>
    <row r="198">
      <c r="A198" s="4"/>
      <c r="B198" s="4"/>
      <c r="C198" s="12"/>
      <c r="D198" s="4"/>
      <c r="E198" s="4"/>
    </row>
    <row r="199">
      <c r="A199" s="4"/>
      <c r="B199" s="4"/>
      <c r="C199" s="12"/>
      <c r="D199" s="4"/>
      <c r="E199" s="4"/>
    </row>
    <row r="200">
      <c r="A200" s="4"/>
      <c r="B200" s="4"/>
      <c r="C200" s="12"/>
      <c r="D200" s="4"/>
      <c r="E200" s="4"/>
    </row>
    <row r="201">
      <c r="A201" s="4"/>
      <c r="B201" s="4"/>
      <c r="C201" s="12"/>
      <c r="D201" s="4"/>
      <c r="E201" s="4"/>
    </row>
    <row r="202">
      <c r="A202" s="4"/>
      <c r="B202" s="4"/>
      <c r="C202" s="12"/>
      <c r="D202" s="4"/>
      <c r="E202" s="4"/>
    </row>
    <row r="203">
      <c r="A203" s="4"/>
      <c r="B203" s="4"/>
      <c r="C203" s="12"/>
      <c r="D203" s="4"/>
      <c r="E203" s="4"/>
    </row>
    <row r="204">
      <c r="A204" s="4"/>
      <c r="B204" s="4"/>
      <c r="C204" s="12"/>
      <c r="D204" s="4"/>
      <c r="E204" s="4"/>
    </row>
    <row r="205">
      <c r="A205" s="4"/>
      <c r="B205" s="4"/>
      <c r="C205" s="12"/>
      <c r="D205" s="4"/>
      <c r="E205" s="4"/>
    </row>
    <row r="206">
      <c r="A206" s="4"/>
      <c r="B206" s="4"/>
      <c r="C206" s="12"/>
      <c r="D206" s="4"/>
      <c r="E206" s="4"/>
    </row>
    <row r="207">
      <c r="A207" s="4"/>
      <c r="B207" s="4"/>
      <c r="C207" s="12"/>
      <c r="D207" s="4"/>
      <c r="E207" s="4"/>
    </row>
    <row r="208">
      <c r="A208" s="4"/>
      <c r="B208" s="4"/>
      <c r="C208" s="12"/>
      <c r="D208" s="4"/>
      <c r="E208" s="4"/>
    </row>
    <row r="209">
      <c r="A209" s="4"/>
      <c r="B209" s="4"/>
      <c r="C209" s="12"/>
      <c r="D209" s="4"/>
      <c r="E209" s="4"/>
    </row>
    <row r="210">
      <c r="A210" s="4"/>
      <c r="B210" s="4"/>
      <c r="C210" s="12"/>
      <c r="D210" s="4"/>
      <c r="E210" s="4"/>
    </row>
  </sheetData>
  <hyperlinks>
    <hyperlink r:id="rId1" ref="C3"/>
    <hyperlink r:id="rId2" ref="F3"/>
    <hyperlink r:id="rId3" ref="C4"/>
    <hyperlink r:id="rId4" ref="F4"/>
    <hyperlink r:id="rId5" ref="C5"/>
    <hyperlink r:id="rId6" ref="F5"/>
    <hyperlink r:id="rId7" ref="C6"/>
    <hyperlink r:id="rId8" ref="F6"/>
    <hyperlink r:id="rId9" ref="C7"/>
    <hyperlink r:id="rId10" ref="F7"/>
    <hyperlink r:id="rId11" ref="C8"/>
    <hyperlink r:id="rId12" ref="F8"/>
    <hyperlink r:id="rId13" ref="C9"/>
    <hyperlink r:id="rId14" ref="F9"/>
    <hyperlink r:id="rId15" ref="C10"/>
    <hyperlink r:id="rId16" ref="F10"/>
    <hyperlink r:id="rId17" ref="C11"/>
    <hyperlink r:id="rId18" ref="F11"/>
    <hyperlink r:id="rId19" ref="C12"/>
    <hyperlink r:id="rId20" ref="F12"/>
    <hyperlink r:id="rId21" ref="C13"/>
    <hyperlink r:id="rId22" ref="F13"/>
    <hyperlink r:id="rId23" ref="C14"/>
    <hyperlink r:id="rId24" ref="F14"/>
    <hyperlink r:id="rId25" ref="C15"/>
    <hyperlink r:id="rId26" ref="F15"/>
    <hyperlink r:id="rId27" ref="C16"/>
    <hyperlink r:id="rId28" ref="F16"/>
    <hyperlink r:id="rId29" ref="C17"/>
    <hyperlink r:id="rId30" ref="F17"/>
    <hyperlink r:id="rId31" ref="C18"/>
    <hyperlink r:id="rId32" ref="F18"/>
    <hyperlink r:id="rId33" ref="C19"/>
    <hyperlink r:id="rId34" ref="F19"/>
    <hyperlink r:id="rId35" ref="C20"/>
    <hyperlink r:id="rId36" ref="F20"/>
    <hyperlink r:id="rId37" ref="C21"/>
    <hyperlink r:id="rId38" ref="F21"/>
    <hyperlink r:id="rId39" ref="C22"/>
    <hyperlink r:id="rId40" ref="F22"/>
    <hyperlink r:id="rId41" ref="C23"/>
    <hyperlink r:id="rId42" ref="F23"/>
    <hyperlink r:id="rId43" ref="C24"/>
    <hyperlink r:id="rId44" ref="F24"/>
    <hyperlink r:id="rId45" ref="C25"/>
    <hyperlink r:id="rId46" ref="F25"/>
    <hyperlink r:id="rId47" ref="F26"/>
    <hyperlink r:id="rId48" ref="C27"/>
    <hyperlink r:id="rId49" ref="F27"/>
    <hyperlink r:id="rId50" ref="C28"/>
    <hyperlink r:id="rId51" ref="F28"/>
    <hyperlink r:id="rId52" ref="C29"/>
    <hyperlink r:id="rId53" ref="F29"/>
    <hyperlink r:id="rId54" ref="C30"/>
    <hyperlink r:id="rId55" ref="F30"/>
    <hyperlink r:id="rId56" ref="C31"/>
    <hyperlink r:id="rId57" ref="F31"/>
    <hyperlink r:id="rId58" ref="C32"/>
    <hyperlink r:id="rId59" ref="F32"/>
    <hyperlink r:id="rId60" ref="C33"/>
    <hyperlink r:id="rId61" ref="F33"/>
    <hyperlink r:id="rId62" ref="C34"/>
    <hyperlink r:id="rId63" ref="F34"/>
    <hyperlink r:id="rId64" ref="C35"/>
    <hyperlink r:id="rId65" ref="F35"/>
    <hyperlink r:id="rId66" ref="C36"/>
    <hyperlink r:id="rId67" ref="F36"/>
    <hyperlink r:id="rId68" ref="C37"/>
    <hyperlink r:id="rId69" ref="F37"/>
    <hyperlink r:id="rId70" ref="C38"/>
    <hyperlink r:id="rId71" ref="F38"/>
    <hyperlink r:id="rId72" ref="C39"/>
    <hyperlink r:id="rId73" ref="F39"/>
    <hyperlink r:id="rId74" ref="C40"/>
    <hyperlink r:id="rId75" ref="F40"/>
    <hyperlink r:id="rId76" ref="C41"/>
    <hyperlink r:id="rId77" ref="F41"/>
    <hyperlink r:id="rId78" ref="C42"/>
    <hyperlink r:id="rId79" ref="F42"/>
    <hyperlink r:id="rId80" ref="C43"/>
    <hyperlink r:id="rId81" ref="F43"/>
    <hyperlink r:id="rId82" ref="C44"/>
    <hyperlink r:id="rId83" ref="F44"/>
    <hyperlink r:id="rId84" ref="C45"/>
    <hyperlink r:id="rId85" ref="F45"/>
    <hyperlink r:id="rId86" ref="C46"/>
    <hyperlink r:id="rId87" ref="F46"/>
    <hyperlink r:id="rId88" ref="C47"/>
    <hyperlink r:id="rId89" ref="F47"/>
    <hyperlink r:id="rId90" ref="C48"/>
    <hyperlink r:id="rId91" ref="F48"/>
    <hyperlink r:id="rId92" ref="C49"/>
    <hyperlink r:id="rId93" ref="F49"/>
    <hyperlink r:id="rId94" ref="C50"/>
    <hyperlink r:id="rId95" ref="F50"/>
    <hyperlink r:id="rId96" ref="C51"/>
    <hyperlink r:id="rId97" ref="F51"/>
    <hyperlink r:id="rId98" ref="C52"/>
    <hyperlink r:id="rId99" ref="F52"/>
    <hyperlink r:id="rId100" ref="C53"/>
    <hyperlink r:id="rId101" ref="F53"/>
    <hyperlink r:id="rId102" ref="C54"/>
    <hyperlink r:id="rId103" ref="F54"/>
    <hyperlink r:id="rId104" ref="C55"/>
    <hyperlink r:id="rId105" ref="F55"/>
    <hyperlink r:id="rId106" ref="C56"/>
    <hyperlink r:id="rId107" ref="F56"/>
    <hyperlink r:id="rId108" ref="C60"/>
    <hyperlink r:id="rId109" ref="C62"/>
    <hyperlink r:id="rId110" ref="C64"/>
    <hyperlink r:id="rId111" ref="C72"/>
    <hyperlink r:id="rId112" ref="C75"/>
    <hyperlink r:id="rId113" ref="C76"/>
    <hyperlink r:id="rId114" ref="C77"/>
    <hyperlink r:id="rId115" ref="C78"/>
    <hyperlink r:id="rId116" ref="C79"/>
    <hyperlink r:id="rId117" ref="C80"/>
    <hyperlink r:id="rId118" ref="C81"/>
    <hyperlink r:id="rId119" ref="C82"/>
    <hyperlink r:id="rId120" ref="C83"/>
    <hyperlink r:id="rId121" ref="C84"/>
    <hyperlink r:id="rId122" ref="C85"/>
    <hyperlink r:id="rId123" ref="C86"/>
    <hyperlink r:id="rId124" ref="C87"/>
    <hyperlink r:id="rId125" ref="C88"/>
    <hyperlink r:id="rId126" ref="C89"/>
    <hyperlink r:id="rId127" ref="C90"/>
    <hyperlink r:id="rId128" ref="C91"/>
    <hyperlink r:id="rId129" ref="C92"/>
    <hyperlink r:id="rId130" ref="C93"/>
    <hyperlink r:id="rId131" ref="C94"/>
    <hyperlink r:id="rId132" ref="C95"/>
    <hyperlink r:id="rId133" ref="C96"/>
    <hyperlink r:id="rId134" ref="C97"/>
    <hyperlink r:id="rId135" ref="C98"/>
    <hyperlink r:id="rId136" ref="C99"/>
    <hyperlink r:id="rId137" ref="C100"/>
    <hyperlink r:id="rId138" ref="C101"/>
    <hyperlink r:id="rId139" ref="C102"/>
    <hyperlink r:id="rId140" ref="C103"/>
    <hyperlink r:id="rId141" ref="C104"/>
    <hyperlink r:id="rId142" ref="C105"/>
    <hyperlink r:id="rId143" ref="C106"/>
    <hyperlink r:id="rId144" ref="C108"/>
    <hyperlink r:id="rId145" ref="F108"/>
    <hyperlink r:id="rId146" ref="C109"/>
    <hyperlink r:id="rId147" ref="F109"/>
    <hyperlink r:id="rId148" ref="C110"/>
    <hyperlink r:id="rId149" ref="F110"/>
    <hyperlink r:id="rId150" ref="C111"/>
    <hyperlink r:id="rId151" ref="F111"/>
    <hyperlink r:id="rId152" ref="C112"/>
    <hyperlink r:id="rId153" ref="F112"/>
    <hyperlink r:id="rId154" ref="C113"/>
    <hyperlink r:id="rId155" ref="F113"/>
    <hyperlink r:id="rId156" ref="C114"/>
    <hyperlink r:id="rId157" ref="F114"/>
    <hyperlink r:id="rId158" ref="C115"/>
    <hyperlink r:id="rId159" ref="F115"/>
    <hyperlink r:id="rId160" ref="C116"/>
    <hyperlink r:id="rId161" ref="F116"/>
    <hyperlink r:id="rId162" ref="C117"/>
    <hyperlink r:id="rId163" ref="F117"/>
    <hyperlink r:id="rId164" ref="C118"/>
    <hyperlink r:id="rId165" ref="F118"/>
    <hyperlink r:id="rId166" ref="C119"/>
    <hyperlink r:id="rId167" ref="F119"/>
    <hyperlink r:id="rId168" ref="C120"/>
    <hyperlink r:id="rId169" ref="F120"/>
    <hyperlink r:id="rId170" ref="C121"/>
    <hyperlink r:id="rId171" ref="F121"/>
    <hyperlink r:id="rId172" ref="C122"/>
    <hyperlink r:id="rId173" ref="F122"/>
    <hyperlink r:id="rId174" ref="C123"/>
    <hyperlink r:id="rId175" ref="F123"/>
    <hyperlink r:id="rId176" ref="C124"/>
    <hyperlink r:id="rId177" ref="F124"/>
    <hyperlink r:id="rId178" ref="C125"/>
    <hyperlink r:id="rId179" ref="F125"/>
    <hyperlink r:id="rId180" ref="C126"/>
    <hyperlink r:id="rId181" ref="F126"/>
    <hyperlink r:id="rId182" ref="C127"/>
    <hyperlink r:id="rId183" ref="F127"/>
    <hyperlink r:id="rId184" ref="C128"/>
    <hyperlink r:id="rId185" ref="F128"/>
    <hyperlink r:id="rId186" ref="C129"/>
    <hyperlink r:id="rId187" ref="F129"/>
    <hyperlink r:id="rId188" ref="C130"/>
    <hyperlink r:id="rId189" ref="F130"/>
    <hyperlink r:id="rId190" ref="C131"/>
    <hyperlink r:id="rId191" ref="F131"/>
    <hyperlink r:id="rId192" ref="C132"/>
    <hyperlink r:id="rId193" ref="F132"/>
    <hyperlink r:id="rId194" ref="C133"/>
    <hyperlink r:id="rId195" ref="F133"/>
    <hyperlink r:id="rId196" ref="C134"/>
    <hyperlink r:id="rId197" ref="F134"/>
    <hyperlink r:id="rId198" ref="C135"/>
    <hyperlink r:id="rId199" ref="F135"/>
    <hyperlink r:id="rId200" ref="C136"/>
    <hyperlink r:id="rId201" ref="F136"/>
    <hyperlink r:id="rId202" ref="C137"/>
    <hyperlink r:id="rId203" ref="F137"/>
    <hyperlink r:id="rId204" ref="C138"/>
    <hyperlink r:id="rId205" ref="F138"/>
    <hyperlink r:id="rId206" ref="C139"/>
    <hyperlink r:id="rId207" ref="F139"/>
    <hyperlink r:id="rId208" ref="C140"/>
    <hyperlink r:id="rId209" ref="F140"/>
    <hyperlink r:id="rId210" ref="C141"/>
    <hyperlink r:id="rId211" ref="F141"/>
    <hyperlink r:id="rId212" ref="C142"/>
    <hyperlink r:id="rId213" ref="F142"/>
    <hyperlink r:id="rId214" ref="C143"/>
    <hyperlink r:id="rId215" ref="F143"/>
    <hyperlink r:id="rId216" ref="C144"/>
    <hyperlink r:id="rId217" ref="F144"/>
    <hyperlink r:id="rId218" ref="C145"/>
    <hyperlink r:id="rId219" ref="F145"/>
    <hyperlink r:id="rId220" ref="C146"/>
    <hyperlink r:id="rId221" ref="F146"/>
    <hyperlink r:id="rId222" ref="C147"/>
    <hyperlink r:id="rId223" ref="F147"/>
    <hyperlink r:id="rId224" ref="C148"/>
    <hyperlink r:id="rId225" ref="F148"/>
    <hyperlink r:id="rId226" ref="C149"/>
    <hyperlink r:id="rId227" ref="F149"/>
  </hyperlinks>
  <drawing r:id="rId22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270</v>
      </c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0</v>
      </c>
      <c r="J1" s="1" t="s">
        <v>6</v>
      </c>
      <c r="K1" s="1" t="s">
        <v>7</v>
      </c>
    </row>
    <row r="2">
      <c r="A2" s="6" t="str">
        <f t="shared" ref="A2:A88" si="1">TEXT(493 + ROW() -2,"0000")</f>
        <v>0493</v>
      </c>
      <c r="B2" s="6" t="str">
        <f>IFERROR(__xludf.DUMMYFUNCTION("QUERY('八王子'!A:D, ""select * where C='△'"", 1)"),"紫晃舘")</f>
        <v>紫晃舘</v>
      </c>
      <c r="C2" s="7" t="str">
        <f>IFERROR(__xludf.DUMMYFUNCTION("""COMPUTED_VALUE"""),"http://shikoukan.blog.fc2.com/")</f>
        <v>http://shikoukan.blog.fc2.com/</v>
      </c>
      <c r="D2" s="6" t="str">
        <f>IFERROR(__xludf.DUMMYFUNCTION("""COMPUTED_VALUE"""),"×")</f>
        <v>×</v>
      </c>
      <c r="E2" s="6" t="str">
        <f>IFERROR(__xludf.DUMMYFUNCTION("""COMPUTED_VALUE"""),"ブログ形式で古く未整備")</f>
        <v>ブログ形式で古く未整備</v>
      </c>
      <c r="G2" s="10" t="s">
        <v>271</v>
      </c>
    </row>
    <row r="3">
      <c r="A3" s="6" t="str">
        <f t="shared" si="1"/>
        <v>0494</v>
      </c>
      <c r="B3" s="6" t="str">
        <f>IFERROR(__xludf.DUMMYFUNCTION("""COMPUTED_VALUE"""),"開運生活・コア")</f>
        <v>開運生活・コア</v>
      </c>
      <c r="C3" s="7" t="str">
        <f>IFERROR(__xludf.DUMMYFUNCTION("""COMPUTED_VALUE"""),"https://fortune-telling.wixsite.com/core")</f>
        <v>https://fortune-telling.wixsite.com/core</v>
      </c>
      <c r="D3" s="6" t="str">
        <f>IFERROR(__xludf.DUMMYFUNCTION("""COMPUTED_VALUE"""),"△")</f>
        <v>△</v>
      </c>
      <c r="E3" s="6" t="str">
        <f>IFERROR(__xludf.DUMMYFUNCTION("""COMPUTED_VALUE"""),"Wix無料版で独自性が弱い")</f>
        <v>Wix無料版で独自性が弱い</v>
      </c>
      <c r="G3" s="10" t="s">
        <v>272</v>
      </c>
    </row>
    <row r="4">
      <c r="A4" s="6" t="str">
        <f t="shared" si="1"/>
        <v>0495</v>
      </c>
      <c r="B4" s="6" t="str">
        <f>IFERROR(__xludf.DUMMYFUNCTION("""COMPUTED_VALUE"""),"Fortune Jyujyu")</f>
        <v>Fortune Jyujyu</v>
      </c>
      <c r="C4" s="7" t="str">
        <f>IFERROR(__xludf.DUMMYFUNCTION("""COMPUTED_VALUE"""),"https://r.goope.jp/fortune-jyujyu/")</f>
        <v>https://r.goope.jp/fortune-jyujyu/</v>
      </c>
      <c r="D4" s="6" t="str">
        <f>IFERROR(__xludf.DUMMYFUNCTION("""COMPUTED_VALUE"""),"△")</f>
        <v>△</v>
      </c>
      <c r="E4" s="6" t="str">
        <f>IFERROR(__xludf.DUMMYFUNCTION("""COMPUTED_VALUE"""),"Goope既成枠で情報が薄い")</f>
        <v>Goope既成枠で情報が薄い</v>
      </c>
      <c r="G4" s="10" t="s">
        <v>273</v>
      </c>
    </row>
    <row r="5">
      <c r="A5" s="6" t="str">
        <f t="shared" si="1"/>
        <v>0496</v>
      </c>
      <c r="B5" s="6" t="str">
        <f>IFERROR(__xludf.DUMMYFUNCTION("""COMPUTED_VALUE"""),"Salon 恵")</f>
        <v>Salon 恵</v>
      </c>
      <c r="C5" s="7" t="str">
        <f>IFERROR(__xludf.DUMMYFUNCTION("""COMPUTED_VALUE"""),"http://www.salon-megumi.com/")</f>
        <v>http://www.salon-megumi.com/</v>
      </c>
      <c r="D5" s="6" t="str">
        <f>IFERROR(__xludf.DUMMYFUNCTION("""COMPUTED_VALUE"""),"△")</f>
        <v>△</v>
      </c>
      <c r="E5" s="6" t="str">
        <f>IFERROR(__xludf.DUMMYFUNCTION("""COMPUTED_VALUE"""),"更新感が弱い")</f>
        <v>更新感が弱い</v>
      </c>
      <c r="G5" s="10" t="s">
        <v>274</v>
      </c>
    </row>
    <row r="6">
      <c r="A6" s="6" t="str">
        <f t="shared" si="1"/>
        <v>0497</v>
      </c>
      <c r="B6" s="6" t="str">
        <f>IFERROR(__xludf.DUMMYFUNCTION("""COMPUTED_VALUE"""),"占い処 カフェバニラ")</f>
        <v>占い処 カフェバニラ</v>
      </c>
      <c r="C6" s="7" t="str">
        <f>IFERROR(__xludf.DUMMYFUNCTION("""COMPUTED_VALUE"""),"http://www.cafevani.com/")</f>
        <v>http://www.cafevani.com/</v>
      </c>
      <c r="D6" s="6" t="str">
        <f>IFERROR(__xludf.DUMMYFUNCTION("""COMPUTED_VALUE"""),"△")</f>
        <v>△</v>
      </c>
      <c r="E6" s="6" t="str">
        <f>IFERROR(__xludf.DUMMYFUNCTION("""COMPUTED_VALUE"""),"スマホ未対応風")</f>
        <v>スマホ未対応風</v>
      </c>
      <c r="G6" s="10" t="s">
        <v>275</v>
      </c>
    </row>
    <row r="7">
      <c r="A7" s="6" t="str">
        <f t="shared" si="1"/>
        <v>0498</v>
      </c>
      <c r="B7" s="6" t="str">
        <f>IFERROR(__xludf.DUMMYFUNCTION("""COMPUTED_VALUE"""),"5SQUARE")</f>
        <v>5SQUARE</v>
      </c>
      <c r="C7" s="7" t="str">
        <f>IFERROR(__xludf.DUMMYFUNCTION("""COMPUTED_VALUE"""),"https://p0dhy.hp.peraichi.com/")</f>
        <v>https://p0dhy.hp.peraichi.com/</v>
      </c>
      <c r="D7" s="6" t="str">
        <f>IFERROR(__xludf.DUMMYFUNCTION("""COMPUTED_VALUE"""),"△")</f>
        <v>△</v>
      </c>
      <c r="E7" s="6" t="str">
        <f>IFERROR(__xludf.DUMMYFUNCTION("""COMPUTED_VALUE"""),"ペライチ1枚構成")</f>
        <v>ペライチ1枚構成</v>
      </c>
      <c r="G7" s="10" t="s">
        <v>276</v>
      </c>
    </row>
    <row r="8">
      <c r="A8" s="6" t="str">
        <f t="shared" si="1"/>
        <v>0499</v>
      </c>
      <c r="B8" s="6" t="str">
        <f>IFERROR(__xludf.DUMMYFUNCTION("""COMPUTED_VALUE"""),"Seed of Life")</f>
        <v>Seed of Life</v>
      </c>
      <c r="C8" s="7" t="str">
        <f>IFERROR(__xludf.DUMMYFUNCTION("""COMPUTED_VALUE"""),"https://seedoflife-rapture.com/")</f>
        <v>https://seedoflife-rapture.com/</v>
      </c>
      <c r="D8" s="6" t="str">
        <f>IFERROR(__xludf.DUMMYFUNCTION("""COMPUTED_VALUE"""),"△")</f>
        <v>△</v>
      </c>
      <c r="E8" s="6" t="str">
        <f>IFERROR(__xludf.DUMMYFUNCTION("""COMPUTED_VALUE"""),"構成が古い")</f>
        <v>構成が古い</v>
      </c>
      <c r="G8" s="10" t="s">
        <v>277</v>
      </c>
    </row>
    <row r="9">
      <c r="A9" s="6" t="str">
        <f t="shared" si="1"/>
        <v>0500</v>
      </c>
      <c r="B9" s="6" t="str">
        <f>IFERROR(__xludf.DUMMYFUNCTION("""COMPUTED_VALUE"""),"虹の天使")</f>
        <v>虹の天使</v>
      </c>
      <c r="C9" s="7" t="str">
        <f>IFERROR(__xludf.DUMMYFUNCTION("""COMPUTED_VALUE"""),"https://www.nijinotenshi.net/")</f>
        <v>https://www.nijinotenshi.net/</v>
      </c>
      <c r="D9" s="6" t="str">
        <f>IFERROR(__xludf.DUMMYFUNCTION("""COMPUTED_VALUE"""),"△")</f>
        <v>△</v>
      </c>
      <c r="E9" s="6" t="str">
        <f>IFERROR(__xludf.DUMMYFUNCTION("""COMPUTED_VALUE"""),"物販中心で弱い")</f>
        <v>物販中心で弱い</v>
      </c>
      <c r="G9" s="10" t="s">
        <v>278</v>
      </c>
    </row>
    <row r="10">
      <c r="A10" s="6" t="str">
        <f t="shared" si="1"/>
        <v>0501</v>
      </c>
      <c r="B10" s="6" t="str">
        <f>IFERROR(__xludf.DUMMYFUNCTION("""COMPUTED_VALUE"""),"八王子霊感占い ネーネーの部屋")</f>
        <v>八王子霊感占い ネーネーの部屋</v>
      </c>
      <c r="C10" s="7" t="str">
        <f>IFERROR(__xludf.DUMMYFUNCTION("""COMPUTED_VALUE"""),"https://nene-no-heya.com/")</f>
        <v>https://nene-no-heya.com/</v>
      </c>
      <c r="D10" s="6" t="str">
        <f>IFERROR(__xludf.DUMMYFUNCTION("""COMPUTED_VALUE"""),"△")</f>
        <v>△</v>
      </c>
      <c r="E10" s="6" t="str">
        <f>IFERROR(__xludf.DUMMYFUNCTION("""COMPUTED_VALUE"""),"独自性が乏しい")</f>
        <v>独自性が乏しい</v>
      </c>
      <c r="G10" s="10" t="s">
        <v>279</v>
      </c>
    </row>
    <row r="11">
      <c r="A11" s="6" t="str">
        <f t="shared" si="1"/>
        <v>0502</v>
      </c>
      <c r="B11" s="6" t="str">
        <f>IFERROR(__xludf.DUMMYFUNCTION("""COMPUTED_VALUE"""),"占いサロン 羅扉巣")</f>
        <v>占いサロン 羅扉巣</v>
      </c>
      <c r="C11" s="7" t="str">
        <f>IFERROR(__xludf.DUMMYFUNCTION("""COMPUTED_VALUE"""),"https://hachiouji-uranai.com/")</f>
        <v>https://hachiouji-uranai.com/</v>
      </c>
      <c r="D11" s="6" t="str">
        <f>IFERROR(__xludf.DUMMYFUNCTION("""COMPUTED_VALUE"""),"△")</f>
        <v>△</v>
      </c>
      <c r="E11" s="6" t="str">
        <f>IFERROR(__xludf.DUMMYFUNCTION("""COMPUTED_VALUE"""),"ポータル風で個性が弱い")</f>
        <v>ポータル風で個性が弱い</v>
      </c>
      <c r="G11" s="10" t="s">
        <v>280</v>
      </c>
    </row>
    <row r="12">
      <c r="A12" s="6" t="str">
        <f t="shared" si="1"/>
        <v>0503</v>
      </c>
      <c r="B12" s="6" t="str">
        <f>IFERROR(__xludf.DUMMYFUNCTION("""COMPUTED_VALUE"""),"占い館 華")</f>
        <v>占い館 華</v>
      </c>
      <c r="C12" s="7" t="str">
        <f>IFERROR(__xludf.DUMMYFUNCTION("""COMPUTED_VALUE"""),"https://uranai-hana.com/")</f>
        <v>https://uranai-hana.com/</v>
      </c>
      <c r="D12" s="6" t="str">
        <f>IFERROR(__xludf.DUMMYFUNCTION("""COMPUTED_VALUE"""),"△")</f>
        <v>△</v>
      </c>
      <c r="E12" s="6" t="str">
        <f>IFERROR(__xludf.DUMMYFUNCTION("""COMPUTED_VALUE"""),"更新停止")</f>
        <v>更新停止</v>
      </c>
      <c r="G12" s="10" t="s">
        <v>281</v>
      </c>
    </row>
    <row r="13">
      <c r="A13" s="6" t="str">
        <f t="shared" si="1"/>
        <v>0504</v>
      </c>
      <c r="B13" s="6" t="str">
        <f>IFERROR(__xludf.DUMMYFUNCTION("""COMPUTED_VALUE"""),"タロット占い 結")</f>
        <v>タロット占い 結</v>
      </c>
      <c r="C13" s="7" t="str">
        <f>IFERROR(__xludf.DUMMYFUNCTION("""COMPUTED_VALUE"""),"https://tarot-yui.com/")</f>
        <v>https://tarot-yui.com/</v>
      </c>
      <c r="D13" s="6" t="str">
        <f>IFERROR(__xludf.DUMMYFUNCTION("""COMPUTED_VALUE"""),"△")</f>
        <v>△</v>
      </c>
      <c r="E13" s="6" t="str">
        <f>IFERROR(__xludf.DUMMYFUNCTION("""COMPUTED_VALUE"""),"無料テーマ使用")</f>
        <v>無料テーマ使用</v>
      </c>
      <c r="G13" s="10" t="s">
        <v>282</v>
      </c>
    </row>
    <row r="14">
      <c r="A14" s="6" t="str">
        <f t="shared" si="1"/>
        <v>0505</v>
      </c>
      <c r="B14" s="6" t="str">
        <f>IFERROR(__xludf.DUMMYFUNCTION("""COMPUTED_VALUE"""),"占い処 龍の目")</f>
        <v>占い処 龍の目</v>
      </c>
      <c r="C14" s="7" t="str">
        <f>IFERROR(__xludf.DUMMYFUNCTION("""COMPUTED_VALUE"""),"https://ryunome.com/")</f>
        <v>https://ryunome.com/</v>
      </c>
      <c r="D14" s="6" t="str">
        <f>IFERROR(__xludf.DUMMYFUNCTION("""COMPUTED_VALUE"""),"△")</f>
        <v>△</v>
      </c>
      <c r="E14" s="6" t="str">
        <f>IFERROR(__xludf.DUMMYFUNCTION("""COMPUTED_VALUE"""),"構成が単調")</f>
        <v>構成が単調</v>
      </c>
      <c r="G14" s="10" t="s">
        <v>283</v>
      </c>
    </row>
    <row r="15">
      <c r="A15" s="6" t="str">
        <f t="shared" si="1"/>
        <v>0506</v>
      </c>
      <c r="B15" s="6" t="str">
        <f>IFERROR(__xludf.DUMMYFUNCTION("""COMPUTED_VALUE"""),"ヒーリングサロン 宙")</f>
        <v>ヒーリングサロン 宙</v>
      </c>
      <c r="C15" s="7" t="str">
        <f>IFERROR(__xludf.DUMMYFUNCTION("""COMPUTED_VALUE"""),"https://healing-sora.com/")</f>
        <v>https://healing-sora.com/</v>
      </c>
      <c r="D15" s="6" t="str">
        <f>IFERROR(__xludf.DUMMYFUNCTION("""COMPUTED_VALUE"""),"△")</f>
        <v>△</v>
      </c>
      <c r="E15" s="6" t="str">
        <f>IFERROR(__xludf.DUMMYFUNCTION("""COMPUTED_VALUE"""),"情報整理が必要")</f>
        <v>情報整理が必要</v>
      </c>
      <c r="G15" s="10" t="s">
        <v>284</v>
      </c>
    </row>
    <row r="16">
      <c r="A16" s="6" t="str">
        <f t="shared" si="1"/>
        <v>0507</v>
      </c>
      <c r="B16" s="6" t="str">
        <f>IFERROR(__xludf.DUMMYFUNCTION("""COMPUTED_VALUE"""),"ヒーリングサロン イモータリティ")</f>
        <v>ヒーリングサロン イモータリティ</v>
      </c>
      <c r="C16" s="7" t="str">
        <f>IFERROR(__xludf.DUMMYFUNCTION("""COMPUTED_VALUE"""),"https://nijitensi-kanariharu.com/")</f>
        <v>https://nijitensi-kanariharu.com/</v>
      </c>
      <c r="D16" s="6" t="str">
        <f>IFERROR(__xludf.DUMMYFUNCTION("""COMPUTED_VALUE"""),"△")</f>
        <v>△</v>
      </c>
      <c r="E16" s="6" t="str">
        <f>IFERROR(__xludf.DUMMYFUNCTION("""COMPUTED_VALUE"""),"情報はあるが独自性が弱い")</f>
        <v>情報はあるが独自性が弱い</v>
      </c>
      <c r="G16" s="10" t="s">
        <v>285</v>
      </c>
    </row>
    <row r="17">
      <c r="A17" s="6" t="str">
        <f t="shared" si="1"/>
        <v>0508</v>
      </c>
      <c r="B17" s="6" t="str">
        <f>IFERROR(__xludf.DUMMYFUNCTION("""COMPUTED_VALUE"""),"立川占い ネーネーの部屋")</f>
        <v>立川占い ネーネーの部屋</v>
      </c>
      <c r="C17" s="7" t="str">
        <f>IFERROR(__xludf.DUMMYFUNCTION("""COMPUTED_VALUE"""),"https://nenjyu.jp/")</f>
        <v>https://nenjyu.jp/</v>
      </c>
      <c r="D17" s="6" t="str">
        <f>IFERROR(__xludf.DUMMYFUNCTION("""COMPUTED_VALUE"""),"△")</f>
        <v>△</v>
      </c>
      <c r="E17" s="6" t="str">
        <f>IFERROR(__xludf.DUMMYFUNCTION("""COMPUTED_VALUE"""),"シンプルだがやや古さを感じる")</f>
        <v>シンプルだがやや古さを感じる</v>
      </c>
      <c r="G17" s="10" t="s">
        <v>286</v>
      </c>
    </row>
    <row r="18">
      <c r="A18" s="6" t="str">
        <f t="shared" si="1"/>
        <v>0509</v>
      </c>
      <c r="B18" s="6" t="str">
        <f>IFERROR(__xludf.DUMMYFUNCTION("""COMPUTED_VALUE"""),"スピリチュアルカウンセリング 八王子")</f>
        <v>スピリチュアルカウンセリング 八王子</v>
      </c>
      <c r="C18" s="7" t="str">
        <f>IFERROR(__xludf.DUMMYFUNCTION("""COMPUTED_VALUE"""),"https://smc7.net/counseling/")</f>
        <v>https://smc7.net/counseling/</v>
      </c>
      <c r="D18" s="6" t="str">
        <f>IFERROR(__xludf.DUMMYFUNCTION("""COMPUTED_VALUE"""),"△")</f>
        <v>△</v>
      </c>
      <c r="E18" s="6" t="str">
        <f>IFERROR(__xludf.DUMMYFUNCTION("""COMPUTED_VALUE"""),"テキスト主体で視覚的訴求が弱い")</f>
        <v>テキスト主体で視覚的訴求が弱い</v>
      </c>
      <c r="G18" s="10" t="s">
        <v>287</v>
      </c>
    </row>
    <row r="19">
      <c r="A19" s="6" t="str">
        <f t="shared" si="1"/>
        <v>0510</v>
      </c>
      <c r="B19" s="6" t="str">
        <f>IFERROR(__xludf.DUMMYFUNCTION("""COMPUTED_VALUE"""),"アポロガーデン ポーチャイ")</f>
        <v>アポロガーデン ポーチャイ</v>
      </c>
      <c r="C19" s="7" t="str">
        <f>IFERROR(__xludf.DUMMYFUNCTION("""COMPUTED_VALUE"""),"https://apollo-garden.com/")</f>
        <v>https://apollo-garden.com/</v>
      </c>
      <c r="D19" s="6" t="str">
        <f>IFERROR(__xludf.DUMMYFUNCTION("""COMPUTED_VALUE"""),"△")</f>
        <v>△</v>
      </c>
      <c r="E19" s="6" t="str">
        <f>IFERROR(__xludf.DUMMYFUNCTION("""COMPUTED_VALUE"""),"情報が分散しており整理が必要")</f>
        <v>情報が分散しており整理が必要</v>
      </c>
      <c r="G19" s="10" t="s">
        <v>288</v>
      </c>
    </row>
    <row r="20">
      <c r="A20" s="6" t="str">
        <f t="shared" si="1"/>
        <v>0511</v>
      </c>
      <c r="B20" s="6" t="str">
        <f>IFERROR(__xludf.DUMMYFUNCTION("""COMPUTED_VALUE"""),"占いサロン 恵")</f>
        <v>占いサロン 恵</v>
      </c>
      <c r="C20" s="7" t="str">
        <f>IFERROR(__xludf.DUMMYFUNCTION("""COMPUTED_VALUE"""),"http://www.salon-megumi.com/")</f>
        <v>http://www.salon-megumi.com/</v>
      </c>
      <c r="D20" s="6" t="str">
        <f>IFERROR(__xludf.DUMMYFUNCTION("""COMPUTED_VALUE"""),"△")</f>
        <v>△</v>
      </c>
      <c r="E20" s="6" t="str">
        <f>IFERROR(__xludf.DUMMYFUNCTION("""COMPUTED_VALUE"""),"構成は標準的だが更新感が薄い")</f>
        <v>構成は標準的だが更新感が薄い</v>
      </c>
      <c r="G20" s="10" t="s">
        <v>289</v>
      </c>
    </row>
    <row r="21">
      <c r="A21" s="6" t="str">
        <f t="shared" si="1"/>
        <v>0512</v>
      </c>
      <c r="B21" s="6" t="str">
        <f>IFERROR(__xludf.DUMMYFUNCTION("""COMPUTED_VALUE"""),"占い処 カフェバニラ")</f>
        <v>占い処 カフェバニラ</v>
      </c>
      <c r="C21" s="7" t="str">
        <f>IFERROR(__xludf.DUMMYFUNCTION("""COMPUTED_VALUE"""),"http://www.cafevani.com/")</f>
        <v>http://www.cafevani.com/</v>
      </c>
      <c r="D21" s="6" t="str">
        <f>IFERROR(__xludf.DUMMYFUNCTION("""COMPUTED_VALUE"""),"△")</f>
        <v>△</v>
      </c>
      <c r="E21" s="6" t="str">
        <f>IFERROR(__xludf.DUMMYFUNCTION("""COMPUTED_VALUE"""),"スマホ対応が不十分な印象")</f>
        <v>スマホ対応が不十分な印象</v>
      </c>
      <c r="G21" s="10" t="s">
        <v>290</v>
      </c>
    </row>
    <row r="22">
      <c r="A22" s="6" t="str">
        <f t="shared" si="1"/>
        <v>0513</v>
      </c>
      <c r="B22" s="6" t="str">
        <f>IFERROR(__xludf.DUMMYFUNCTION("""COMPUTED_VALUE"""),"開運生活・コア")</f>
        <v>開運生活・コア</v>
      </c>
      <c r="C22" s="7" t="str">
        <f>IFERROR(__xludf.DUMMYFUNCTION("""COMPUTED_VALUE"""),"https://fortune-telling.wixsite.com/core")</f>
        <v>https://fortune-telling.wixsite.com/core</v>
      </c>
      <c r="D22" s="6" t="str">
        <f>IFERROR(__xludf.DUMMYFUNCTION("""COMPUTED_VALUE"""),"△")</f>
        <v>△</v>
      </c>
      <c r="E22" s="6" t="str">
        <f>IFERROR(__xludf.DUMMYFUNCTION("""COMPUTED_VALUE"""),"Wix無料版で広告が目立つ")</f>
        <v>Wix無料版で広告が目立つ</v>
      </c>
      <c r="G22" s="10" t="s">
        <v>291</v>
      </c>
    </row>
    <row r="23">
      <c r="A23" s="6" t="str">
        <f t="shared" si="1"/>
        <v>0514</v>
      </c>
      <c r="B23" s="6" t="str">
        <f>IFERROR(__xludf.DUMMYFUNCTION("""COMPUTED_VALUE"""),"ヒーリングスペース Seed of Life")</f>
        <v>ヒーリングスペース Seed of Life</v>
      </c>
      <c r="C23" s="7" t="str">
        <f>IFERROR(__xludf.DUMMYFUNCTION("""COMPUTED_VALUE"""),"https://seedoflife-rapture.com/")</f>
        <v>https://seedoflife-rapture.com/</v>
      </c>
      <c r="D23" s="6" t="str">
        <f>IFERROR(__xludf.DUMMYFUNCTION("""COMPUTED_VALUE"""),"△")</f>
        <v>△</v>
      </c>
      <c r="E23" s="6" t="str">
        <f>IFERROR(__xludf.DUMMYFUNCTION("""COMPUTED_VALUE"""),"情報量は多いが視認性が低い")</f>
        <v>情報量は多いが視認性が低い</v>
      </c>
      <c r="G23" s="10" t="s">
        <v>292</v>
      </c>
    </row>
    <row r="24">
      <c r="A24" s="6" t="str">
        <f t="shared" si="1"/>
        <v>0515</v>
      </c>
      <c r="B24" s="6" t="str">
        <f>IFERROR(__xludf.DUMMYFUNCTION("""COMPUTED_VALUE"""),"虹の天使")</f>
        <v>虹の天使</v>
      </c>
      <c r="C24" s="7" t="str">
        <f>IFERROR(__xludf.DUMMYFUNCTION("""COMPUTED_VALUE"""),"https://www.nijinotenshi.net/")</f>
        <v>https://www.nijinotenshi.net/</v>
      </c>
      <c r="D24" s="6" t="str">
        <f>IFERROR(__xludf.DUMMYFUNCTION("""COMPUTED_VALUE"""),"△")</f>
        <v>△</v>
      </c>
      <c r="E24" s="6" t="str">
        <f>IFERROR(__xludf.DUMMYFUNCTION("""COMPUTED_VALUE"""),"物販メインでサロン情報が弱い")</f>
        <v>物販メインでサロン情報が弱い</v>
      </c>
      <c r="G24" s="10" t="s">
        <v>293</v>
      </c>
    </row>
    <row r="25">
      <c r="A25" s="6" t="str">
        <f t="shared" si="1"/>
        <v>0516</v>
      </c>
      <c r="B25" s="6" t="str">
        <f>IFERROR(__xludf.DUMMYFUNCTION("""COMPUTED_VALUE"""),"占いサロン 羅扉巣")</f>
        <v>占いサロン 羅扉巣</v>
      </c>
      <c r="C25" s="7" t="str">
        <f>IFERROR(__xludf.DUMMYFUNCTION("""COMPUTED_VALUE"""),"https://hachiouji-uranai.com/")</f>
        <v>https://hachiouji-uranai.com/</v>
      </c>
      <c r="D25" s="6" t="str">
        <f>IFERROR(__xludf.DUMMYFUNCTION("""COMPUTED_VALUE"""),"△")</f>
        <v>△</v>
      </c>
      <c r="E25" s="6" t="str">
        <f>IFERROR(__xludf.DUMMYFUNCTION("""COMPUTED_VALUE"""),"ポータル風で個性が弱い")</f>
        <v>ポータル風で個性が弱い</v>
      </c>
      <c r="G25" s="10" t="s">
        <v>294</v>
      </c>
    </row>
    <row r="26">
      <c r="A26" s="6" t="str">
        <f t="shared" si="1"/>
        <v>0517</v>
      </c>
      <c r="B26" s="6" t="str">
        <f>IFERROR(__xludf.DUMMYFUNCTION("""COMPUTED_VALUE"""),"ヒーリングサロン 宙")</f>
        <v>ヒーリングサロン 宙</v>
      </c>
      <c r="C26" s="7" t="str">
        <f>IFERROR(__xludf.DUMMYFUNCTION("""COMPUTED_VALUE"""),"https://healing-sora.com/")</f>
        <v>https://healing-sora.com/</v>
      </c>
      <c r="D26" s="6" t="str">
        <f>IFERROR(__xludf.DUMMYFUNCTION("""COMPUTED_VALUE"""),"△")</f>
        <v>△</v>
      </c>
      <c r="E26" s="6" t="str">
        <f>IFERROR(__xludf.DUMMYFUNCTION("""COMPUTED_VALUE"""),"構成が単調で改善の余地あり")</f>
        <v>構成が単調で改善の余地あり</v>
      </c>
      <c r="G26" s="10" t="s">
        <v>295</v>
      </c>
    </row>
    <row r="27">
      <c r="A27" s="6" t="str">
        <f t="shared" si="1"/>
        <v>0518</v>
      </c>
      <c r="B27" s="6" t="str">
        <f>IFERROR(__xludf.DUMMYFUNCTION("""COMPUTED_VALUE"""),"タロット占い 結")</f>
        <v>タロット占い 結</v>
      </c>
      <c r="C27" s="7" t="str">
        <f>IFERROR(__xludf.DUMMYFUNCTION("""COMPUTED_VALUE"""),"https://tarot-yui.com/")</f>
        <v>https://tarot-yui.com/</v>
      </c>
      <c r="D27" s="6" t="str">
        <f>IFERROR(__xludf.DUMMYFUNCTION("""COMPUTED_VALUE"""),"△")</f>
        <v>△</v>
      </c>
      <c r="E27" s="6" t="str">
        <f>IFERROR(__xludf.DUMMYFUNCTION("""COMPUTED_VALUE"""),"無料テーマのままで独自性が低い")</f>
        <v>無料テーマのままで独自性が低い</v>
      </c>
      <c r="G27" s="10" t="s">
        <v>296</v>
      </c>
    </row>
    <row r="28">
      <c r="A28" s="6" t="str">
        <f t="shared" si="1"/>
        <v>0519</v>
      </c>
      <c r="B28" s="1" t="s">
        <v>297</v>
      </c>
      <c r="G28" s="10" t="s">
        <v>298</v>
      </c>
    </row>
    <row r="29">
      <c r="A29" s="6" t="str">
        <f t="shared" si="1"/>
        <v>0520</v>
      </c>
      <c r="B29" s="6" t="str">
        <f>IFERROR(__xludf.DUMMYFUNCTION("QUERY('調布市'!A:D, ""select * where C='△'"", 1)"),"フォア・ネイル")</f>
        <v>フォア・ネイル</v>
      </c>
      <c r="C29" s="7" t="str">
        <f>IFERROR(__xludf.DUMMYFUNCTION("""COMPUTED_VALUE"""),"https://fore-nail.com/")</f>
        <v>https://fore-nail.com/</v>
      </c>
      <c r="D29" s="6" t="str">
        <f>IFERROR(__xludf.DUMMYFUNCTION("""COMPUTED_VALUE"""),"○")</f>
        <v>○</v>
      </c>
      <c r="E29" s="6" t="str">
        <f>IFERROR(__xludf.DUMMYFUNCTION("""COMPUTED_VALUE"""),"構成が整っており信頼感がある")</f>
        <v>構成が整っており信頼感がある</v>
      </c>
      <c r="G29" s="10" t="s">
        <v>299</v>
      </c>
    </row>
    <row r="30">
      <c r="A30" s="6" t="str">
        <f t="shared" si="1"/>
        <v>0521</v>
      </c>
      <c r="B30" s="6" t="str">
        <f>IFERROR(__xludf.DUMMYFUNCTION("""COMPUTED_VALUE"""),"紫微斗数占い 縁")</f>
        <v>紫微斗数占い 縁</v>
      </c>
      <c r="C30" s="7" t="str">
        <f>IFERROR(__xludf.DUMMYFUNCTION("""COMPUTED_VALUE"""),"https://shibitosu-uranai-enishi.jimdofree.com/")</f>
        <v>https://shibitosu-uranai-enishi.jimdofree.com/</v>
      </c>
      <c r="D30" s="6" t="str">
        <f>IFERROR(__xludf.DUMMYFUNCTION("""COMPUTED_VALUE"""),"△")</f>
        <v>△</v>
      </c>
      <c r="E30" s="6" t="str">
        <f>IFERROR(__xludf.DUMMYFUNCTION("""COMPUTED_VALUE"""),"Jimdo製でやや簡易的な構成")</f>
        <v>Jimdo製でやや簡易的な構成</v>
      </c>
      <c r="G30" s="10" t="s">
        <v>300</v>
      </c>
    </row>
    <row r="31">
      <c r="A31" s="6" t="str">
        <f t="shared" si="1"/>
        <v>0522</v>
      </c>
      <c r="B31" s="6" t="str">
        <f>IFERROR(__xludf.DUMMYFUNCTION("""COMPUTED_VALUE"""),"バンブーボックス")</f>
        <v>バンブーボックス</v>
      </c>
      <c r="C31" s="7" t="str">
        <f>IFERROR(__xludf.DUMMYFUNCTION("""COMPUTED_VALUE"""),"https://chofu.com/bamboo")</f>
        <v>https://chofu.com/bamboo</v>
      </c>
      <c r="D31" s="6" t="str">
        <f>IFERROR(__xludf.DUMMYFUNCTION("""COMPUTED_VALUE"""),"△")</f>
        <v>△</v>
      </c>
      <c r="E31" s="6" t="str">
        <f>IFERROR(__xludf.DUMMYFUNCTION("""COMPUTED_VALUE"""),"ポータル内ページで独自性が弱い")</f>
        <v>ポータル内ページで独自性が弱い</v>
      </c>
      <c r="G31" s="10" t="s">
        <v>301</v>
      </c>
    </row>
    <row r="32">
      <c r="A32" s="6" t="str">
        <f t="shared" si="1"/>
        <v>0523</v>
      </c>
      <c r="B32" s="6" t="str">
        <f>IFERROR(__xludf.DUMMYFUNCTION("""COMPUTED_VALUE"""),"癒しのサロン Mahina O Hoku")</f>
        <v>癒しのサロン Mahina O Hoku</v>
      </c>
      <c r="C32" s="7" t="str">
        <f>IFERROR(__xludf.DUMMYFUNCTION("""COMPUTED_VALUE"""),"https://mahinaohoku.wixsite.com/lomilomi")</f>
        <v>https://mahinaohoku.wixsite.com/lomilomi</v>
      </c>
      <c r="D32" s="6" t="str">
        <f>IFERROR(__xludf.DUMMYFUNCTION("""COMPUTED_VALUE"""),"△")</f>
        <v>△</v>
      </c>
      <c r="E32" s="6" t="str">
        <f>IFERROR(__xludf.DUMMYFUNCTION("""COMPUTED_VALUE"""),"Wix無料版で広告が目立つ")</f>
        <v>Wix無料版で広告が目立つ</v>
      </c>
      <c r="G32" s="10" t="s">
        <v>302</v>
      </c>
    </row>
    <row r="33">
      <c r="A33" s="6" t="str">
        <f t="shared" si="1"/>
        <v>0524</v>
      </c>
      <c r="B33" s="6" t="str">
        <f>IFERROR(__xludf.DUMMYFUNCTION("""COMPUTED_VALUE"""),"0学運命分析鑑定室 高柳令瓏")</f>
        <v>0学運命分析鑑定室 高柳令瓏</v>
      </c>
      <c r="C33" s="7" t="str">
        <f>IFERROR(__xludf.DUMMYFUNCTION("""COMPUTED_VALUE"""),"https://reiro.crayonsite.info/")</f>
        <v>https://reiro.crayonsite.info/</v>
      </c>
      <c r="D33" s="6" t="str">
        <f>IFERROR(__xludf.DUMMYFUNCTION("""COMPUTED_VALUE"""),"△")</f>
        <v>△</v>
      </c>
      <c r="E33" s="6" t="str">
        <f>IFERROR(__xludf.DUMMYFUNCTION("""COMPUTED_VALUE"""),"無料作成ツールで構成が簡易")</f>
        <v>無料作成ツールで構成が簡易</v>
      </c>
      <c r="G33" s="10" t="s">
        <v>303</v>
      </c>
    </row>
    <row r="34">
      <c r="A34" s="6" t="str">
        <f t="shared" si="1"/>
        <v>0525</v>
      </c>
      <c r="B34" s="6" t="str">
        <f>IFERROR(__xludf.DUMMYFUNCTION("""COMPUTED_VALUE"""),"ヒーリングサロン 桜・Sakura")</f>
        <v>ヒーリングサロン 桜・Sakura</v>
      </c>
      <c r="C34" s="7" t="str">
        <f>IFERROR(__xludf.DUMMYFUNCTION("""COMPUTED_VALUE"""),"https://reishi-sakura.com/")</f>
        <v>https://reishi-sakura.com/</v>
      </c>
      <c r="D34" s="6" t="str">
        <f>IFERROR(__xludf.DUMMYFUNCTION("""COMPUTED_VALUE"""),"△")</f>
        <v>△</v>
      </c>
      <c r="E34" s="6" t="str">
        <f>IFERROR(__xludf.DUMMYFUNCTION("""COMPUTED_VALUE"""),"情報はあるがデザインが古い")</f>
        <v>情報はあるがデザインが古い</v>
      </c>
      <c r="G34" s="10" t="s">
        <v>304</v>
      </c>
    </row>
    <row r="35">
      <c r="A35" s="6" t="str">
        <f t="shared" si="1"/>
        <v>0526</v>
      </c>
      <c r="B35" s="6" t="str">
        <f>IFERROR(__xludf.DUMMYFUNCTION("""COMPUTED_VALUE"""),"レイキヒーリング 調布")</f>
        <v>レイキヒーリング 調布</v>
      </c>
      <c r="C35" s="7" t="str">
        <f>IFERROR(__xludf.DUMMYFUNCTION("""COMPUTED_VALUE"""),"https://reiki-chofu.com/")</f>
        <v>https://reiki-chofu.com/</v>
      </c>
      <c r="D35" s="6" t="str">
        <f>IFERROR(__xludf.DUMMYFUNCTION("""COMPUTED_VALUE"""),"△")</f>
        <v>△</v>
      </c>
      <c r="E35" s="6" t="str">
        <f>IFERROR(__xludf.DUMMYFUNCTION("""COMPUTED_VALUE"""),"構成が単調で改善の余地あり")</f>
        <v>構成が単調で改善の余地あり</v>
      </c>
      <c r="G35" s="10" t="s">
        <v>305</v>
      </c>
    </row>
    <row r="36">
      <c r="A36" s="6" t="str">
        <f t="shared" si="1"/>
        <v>0527</v>
      </c>
      <c r="B36" s="6" t="str">
        <f>IFERROR(__xludf.DUMMYFUNCTION("""COMPUTED_VALUE"""),"開運アドバイザー 結")</f>
        <v>開運アドバイザー 結</v>
      </c>
      <c r="C36" s="7" t="str">
        <f>IFERROR(__xludf.DUMMYFUNCTION("""COMPUTED_VALUE"""),"https://yui-kaiun.com/")</f>
        <v>https://yui-kaiun.com/</v>
      </c>
      <c r="D36" s="6" t="str">
        <f>IFERROR(__xludf.DUMMYFUNCTION("""COMPUTED_VALUE"""),"△")</f>
        <v>△</v>
      </c>
      <c r="E36" s="6" t="str">
        <f>IFERROR(__xludf.DUMMYFUNCTION("""COMPUTED_VALUE"""),"無料テーマのままで個性が弱い")</f>
        <v>無料テーマのままで個性が弱い</v>
      </c>
      <c r="G36" s="10" t="s">
        <v>306</v>
      </c>
    </row>
    <row r="37">
      <c r="A37" s="6" t="str">
        <f t="shared" si="1"/>
        <v>0528</v>
      </c>
      <c r="B37" s="6" t="str">
        <f>IFERROR(__xludf.DUMMYFUNCTION("""COMPUTED_VALUE"""),"占い処 龍の目 調布")</f>
        <v>占い処 龍の目 調布</v>
      </c>
      <c r="C37" s="7" t="str">
        <f>IFERROR(__xludf.DUMMYFUNCTION("""COMPUTED_VALUE"""),"https://ryunome-chofu.com/")</f>
        <v>https://ryunome-chofu.com/</v>
      </c>
      <c r="D37" s="6" t="str">
        <f>IFERROR(__xludf.DUMMYFUNCTION("""COMPUTED_VALUE"""),"△")</f>
        <v>△</v>
      </c>
      <c r="E37" s="6" t="str">
        <f>IFERROR(__xludf.DUMMYFUNCTION("""COMPUTED_VALUE"""),"情報が散漫で整理が必要")</f>
        <v>情報が散漫で整理が必要</v>
      </c>
      <c r="G37" s="10" t="s">
        <v>307</v>
      </c>
    </row>
    <row r="38">
      <c r="A38" s="6" t="str">
        <f t="shared" si="1"/>
        <v>0529</v>
      </c>
      <c r="B38" s="6" t="str">
        <f>IFERROR(__xludf.DUMMYFUNCTION("""COMPUTED_VALUE"""),"ヒーリングサロン 宙")</f>
        <v>ヒーリングサロン 宙</v>
      </c>
      <c r="C38" s="7" t="str">
        <f>IFERROR(__xludf.DUMMYFUNCTION("""COMPUTED_VALUE"""),"https://healing-sora.com/")</f>
        <v>https://healing-sora.com/</v>
      </c>
      <c r="D38" s="6" t="str">
        <f>IFERROR(__xludf.DUMMYFUNCTION("""COMPUTED_VALUE"""),"△")</f>
        <v>△</v>
      </c>
      <c r="E38" s="6" t="str">
        <f>IFERROR(__xludf.DUMMYFUNCTION("""COMPUTED_VALUE"""),"構成が単調で営業の余地あり")</f>
        <v>構成が単調で営業の余地あり</v>
      </c>
      <c r="G38" s="10" t="s">
        <v>308</v>
      </c>
    </row>
    <row r="39">
      <c r="A39" s="6" t="str">
        <f t="shared" si="1"/>
        <v>0530</v>
      </c>
      <c r="B39" s="6" t="str">
        <f>IFERROR(__xludf.DUMMYFUNCTION("""COMPUTED_VALUE"""),"タロット占い 結")</f>
        <v>タロット占い 結</v>
      </c>
      <c r="C39" s="7" t="str">
        <f>IFERROR(__xludf.DUMMYFUNCTION("""COMPUTED_VALUE"""),"https://tarot-yui.com/")</f>
        <v>https://tarot-yui.com/</v>
      </c>
      <c r="D39" s="6" t="str">
        <f>IFERROR(__xludf.DUMMYFUNCTION("""COMPUTED_VALUE"""),"△")</f>
        <v>△</v>
      </c>
      <c r="E39" s="6" t="str">
        <f>IFERROR(__xludf.DUMMYFUNCTION("""COMPUTED_VALUE"""),"無料テーマのままで独自性が低い")</f>
        <v>無料テーマのままで独自性が低い</v>
      </c>
      <c r="G39" s="10" t="s">
        <v>309</v>
      </c>
    </row>
    <row r="40">
      <c r="A40" s="6" t="str">
        <f t="shared" si="1"/>
        <v>0531</v>
      </c>
      <c r="B40" s="6" t="str">
        <f>IFERROR(__xludf.DUMMYFUNCTION("""COMPUTED_VALUE"""),"チャクラアートヒーリング")</f>
        <v>チャクラアートヒーリング</v>
      </c>
      <c r="C40" s="7" t="str">
        <f>IFERROR(__xludf.DUMMYFUNCTION("""COMPUTED_VALUE"""),"https://chakra-art.com/")</f>
        <v>https://chakra-art.com/</v>
      </c>
      <c r="D40" s="6" t="str">
        <f>IFERROR(__xludf.DUMMYFUNCTION("""COMPUTED_VALUE"""),"△")</f>
        <v>△</v>
      </c>
      <c r="E40" s="6" t="str">
        <f>IFERROR(__xludf.DUMMYFUNCTION("""COMPUTED_VALUE"""),"情報はあるがデザインがやや古い")</f>
        <v>情報はあるがデザインがやや古い</v>
      </c>
      <c r="G40" s="10" t="s">
        <v>310</v>
      </c>
    </row>
    <row r="41">
      <c r="A41" s="6" t="str">
        <f t="shared" si="1"/>
        <v>0532</v>
      </c>
      <c r="B41" s="6" t="str">
        <f>IFERROR(__xludf.DUMMYFUNCTION("""COMPUTED_VALUE"""),"算命学体験会")</f>
        <v>算命学体験会</v>
      </c>
      <c r="C41" s="7" t="str">
        <f>IFERROR(__xludf.DUMMYFUNCTION("""COMPUTED_VALUE"""),"https://sanmeigaku-chofu.com/")</f>
        <v>https://sanmeigaku-chofu.com/</v>
      </c>
      <c r="D41" s="6" t="str">
        <f>IFERROR(__xludf.DUMMYFUNCTION("""COMPUTED_VALUE"""),"△")</f>
        <v>△</v>
      </c>
      <c r="E41" s="6" t="str">
        <f>IFERROR(__xludf.DUMMYFUNCTION("""COMPUTED_VALUE"""),"シンプルだが独自性に欠ける")</f>
        <v>シンプルだが独自性に欠ける</v>
      </c>
      <c r="G41" s="10" t="s">
        <v>311</v>
      </c>
    </row>
    <row r="42">
      <c r="A42" s="6" t="str">
        <f t="shared" si="1"/>
        <v>0533</v>
      </c>
      <c r="B42" s="6" t="str">
        <f>IFERROR(__xludf.DUMMYFUNCTION("""COMPUTED_VALUE"""),"DRT調布")</f>
        <v>DRT調布</v>
      </c>
      <c r="C42" s="7" t="str">
        <f>IFERROR(__xludf.DUMMYFUNCTION("""COMPUTED_VALUE"""),"https://drt-chofu.com/")</f>
        <v>https://drt-chofu.com/</v>
      </c>
      <c r="D42" s="6" t="str">
        <f>IFERROR(__xludf.DUMMYFUNCTION("""COMPUTED_VALUE"""),"△")</f>
        <v>△</v>
      </c>
      <c r="E42" s="6" t="str">
        <f>IFERROR(__xludf.DUMMYFUNCTION("""COMPUTED_VALUE"""),"構成が単調で改善の余地あり")</f>
        <v>構成が単調で改善の余地あり</v>
      </c>
      <c r="G42" s="10" t="s">
        <v>312</v>
      </c>
    </row>
    <row r="43">
      <c r="A43" s="6" t="str">
        <f t="shared" si="1"/>
        <v>0534</v>
      </c>
      <c r="B43" s="6" t="str">
        <f>IFERROR(__xludf.DUMMYFUNCTION("""COMPUTED_VALUE"""),"小林マネジメントサービス")</f>
        <v>小林マネジメントサービス</v>
      </c>
      <c r="C43" s="7" t="str">
        <f>IFERROR(__xludf.DUMMYFUNCTION("""COMPUTED_VALUE"""),"https://kobayashi-ms.com/")</f>
        <v>https://kobayashi-ms.com/</v>
      </c>
      <c r="D43" s="6" t="str">
        <f>IFERROR(__xludf.DUMMYFUNCTION("""COMPUTED_VALUE"""),"△")</f>
        <v>△</v>
      </c>
      <c r="E43" s="6" t="str">
        <f>IFERROR(__xludf.DUMMYFUNCTION("""COMPUTED_VALUE"""),"ビジネス寄りだがヒーリング情報あり")</f>
        <v>ビジネス寄りだがヒーリング情報あり</v>
      </c>
      <c r="G43" s="10" t="s">
        <v>313</v>
      </c>
    </row>
    <row r="44">
      <c r="A44" s="6" t="str">
        <f t="shared" si="1"/>
        <v>0535</v>
      </c>
      <c r="B44" s="6" t="str">
        <f>IFERROR(__xludf.DUMMYFUNCTION("""COMPUTED_VALUE"""),"開運セラピスト 結")</f>
        <v>開運セラピスト 結</v>
      </c>
      <c r="C44" s="7" t="str">
        <f>IFERROR(__xludf.DUMMYFUNCTION("""COMPUTED_VALUE"""),"https://yui-kaiun-chofu.com/")</f>
        <v>https://yui-kaiun-chofu.com/</v>
      </c>
      <c r="D44" s="6" t="str">
        <f>IFERROR(__xludf.DUMMYFUNCTION("""COMPUTED_VALUE"""),"△")</f>
        <v>△</v>
      </c>
      <c r="E44" s="6" t="str">
        <f>IFERROR(__xludf.DUMMYFUNCTION("""COMPUTED_VALUE"""),"無料テーマのままで個性が弱い")</f>
        <v>無料テーマのままで個性が弱い</v>
      </c>
      <c r="G44" s="10" t="s">
        <v>314</v>
      </c>
    </row>
    <row r="45">
      <c r="A45" s="6" t="str">
        <f t="shared" si="1"/>
        <v>0536</v>
      </c>
      <c r="B45" s="6" t="str">
        <f>IFERROR(__xludf.DUMMYFUNCTION("""COMPUTED_VALUE"""),"路地裏DE君想う草")</f>
        <v>路地裏DE君想う草</v>
      </c>
      <c r="C45" s="7" t="str">
        <f>IFERROR(__xludf.DUMMYFUNCTION("""COMPUTED_VALUE"""),"https://rojiura-uranai.com/")</f>
        <v>https://rojiura-uranai.com/</v>
      </c>
      <c r="D45" s="6" t="str">
        <f>IFERROR(__xludf.DUMMYFUNCTION("""COMPUTED_VALUE"""),"△")</f>
        <v>△</v>
      </c>
      <c r="E45" s="6" t="str">
        <f>IFERROR(__xludf.DUMMYFUNCTION("""COMPUTED_VALUE"""),"シンプルだがやや古さを感じる")</f>
        <v>シンプルだがやや古さを感じる</v>
      </c>
      <c r="G45" s="10" t="s">
        <v>315</v>
      </c>
    </row>
    <row r="46">
      <c r="A46" s="6" t="str">
        <f t="shared" si="1"/>
        <v>0537</v>
      </c>
      <c r="B46" s="6" t="str">
        <f>IFERROR(__xludf.DUMMYFUNCTION("""COMPUTED_VALUE"""),"真氣光 調布")</f>
        <v>真氣光 調布</v>
      </c>
      <c r="C46" s="7" t="str">
        <f>IFERROR(__xludf.DUMMYFUNCTION("""COMPUTED_VALUE"""),"https://shinkiko-chofu.com/")</f>
        <v>https://shinkiko-chofu.com/</v>
      </c>
      <c r="D46" s="6" t="str">
        <f>IFERROR(__xludf.DUMMYFUNCTION("""COMPUTED_VALUE"""),"△")</f>
        <v>△</v>
      </c>
      <c r="E46" s="6" t="str">
        <f>IFERROR(__xludf.DUMMYFUNCTION("""COMPUTED_VALUE"""),"情報が分散しており整理が必要")</f>
        <v>情報が分散しており整理が必要</v>
      </c>
      <c r="G46" s="10" t="s">
        <v>316</v>
      </c>
    </row>
    <row r="47">
      <c r="A47" s="6" t="str">
        <f t="shared" si="1"/>
        <v>0538</v>
      </c>
      <c r="B47" s="6" t="str">
        <f>IFERROR(__xludf.DUMMYFUNCTION("""COMPUTED_VALUE"""),"占い処 龍の目 調布")</f>
        <v>占い処 龍の目 調布</v>
      </c>
      <c r="C47" s="7" t="str">
        <f>IFERROR(__xludf.DUMMYFUNCTION("""COMPUTED_VALUE"""),"https://ryunome-chofu.com/")</f>
        <v>https://ryunome-chofu.com/</v>
      </c>
      <c r="D47" s="6" t="str">
        <f>IFERROR(__xludf.DUMMYFUNCTION("""COMPUTED_VALUE"""),"△")</f>
        <v>△</v>
      </c>
      <c r="E47" s="6" t="str">
        <f>IFERROR(__xludf.DUMMYFUNCTION("""COMPUTED_VALUE"""),"情報が散漫で整理が必要")</f>
        <v>情報が散漫で整理が必要</v>
      </c>
      <c r="G47" s="10" t="s">
        <v>317</v>
      </c>
    </row>
    <row r="48">
      <c r="A48" s="6" t="str">
        <f t="shared" si="1"/>
        <v>0539</v>
      </c>
      <c r="B48" s="6" t="str">
        <f>IFERROR(__xludf.DUMMYFUNCTION("""COMPUTED_VALUE"""),"ヒーリングサロン 宙")</f>
        <v>ヒーリングサロン 宙</v>
      </c>
      <c r="C48" s="7" t="str">
        <f>IFERROR(__xludf.DUMMYFUNCTION("""COMPUTED_VALUE"""),"https://healing-sora.com/")</f>
        <v>https://healing-sora.com/</v>
      </c>
      <c r="D48" s="6" t="str">
        <f>IFERROR(__xludf.DUMMYFUNCTION("""COMPUTED_VALUE"""),"△")</f>
        <v>△</v>
      </c>
      <c r="E48" s="6" t="str">
        <f>IFERROR(__xludf.DUMMYFUNCTION("""COMPUTED_VALUE"""),"構成が単調で営業の余地あり")</f>
        <v>構成が単調で営業の余地あり</v>
      </c>
      <c r="G48" s="10" t="s">
        <v>318</v>
      </c>
    </row>
    <row r="49">
      <c r="A49" s="6" t="str">
        <f t="shared" si="1"/>
        <v>0540</v>
      </c>
      <c r="B49" s="6" t="str">
        <f>IFERROR(__xludf.DUMMYFUNCTION("""COMPUTED_VALUE"""),"レイキヒーリング 調布")</f>
        <v>レイキヒーリング 調布</v>
      </c>
      <c r="C49" s="7" t="str">
        <f>IFERROR(__xludf.DUMMYFUNCTION("""COMPUTED_VALUE"""),"https://reiki-chofu.com/")</f>
        <v>https://reiki-chofu.com/</v>
      </c>
      <c r="D49" s="6" t="str">
        <f>IFERROR(__xludf.DUMMYFUNCTION("""COMPUTED_VALUE"""),"△")</f>
        <v>△</v>
      </c>
      <c r="E49" s="6" t="str">
        <f>IFERROR(__xludf.DUMMYFUNCTION("""COMPUTED_VALUE"""),"構成が単調で改善の余地あり")</f>
        <v>構成が単調で改善の余地あり</v>
      </c>
      <c r="G49" s="10" t="s">
        <v>319</v>
      </c>
    </row>
    <row r="50">
      <c r="A50" s="6" t="str">
        <f t="shared" si="1"/>
        <v>0541</v>
      </c>
      <c r="B50" s="6" t="str">
        <f>IFERROR(__xludf.DUMMYFUNCTION("""COMPUTED_VALUE"""),"開運アドバイザー 結")</f>
        <v>開運アドバイザー 結</v>
      </c>
      <c r="C50" s="7" t="str">
        <f>IFERROR(__xludf.DUMMYFUNCTION("""COMPUTED_VALUE"""),"https://yui-kaiun.com/")</f>
        <v>https://yui-kaiun.com/</v>
      </c>
      <c r="D50" s="6" t="str">
        <f>IFERROR(__xludf.DUMMYFUNCTION("""COMPUTED_VALUE"""),"△")</f>
        <v>△</v>
      </c>
      <c r="E50" s="6" t="str">
        <f>IFERROR(__xludf.DUMMYFUNCTION("""COMPUTED_VALUE"""),"無料テーマのままで個性が弱い")</f>
        <v>無料テーマのままで個性が弱い</v>
      </c>
      <c r="G50" s="10" t="s">
        <v>320</v>
      </c>
    </row>
    <row r="51">
      <c r="A51" s="6" t="str">
        <f t="shared" si="1"/>
        <v>0542</v>
      </c>
      <c r="B51" s="6" t="str">
        <f>IFERROR(__xludf.DUMMYFUNCTION("""COMPUTED_VALUE"""),"占い処 龍の目 調布")</f>
        <v>占い処 龍の目 調布</v>
      </c>
      <c r="C51" s="7" t="str">
        <f>IFERROR(__xludf.DUMMYFUNCTION("""COMPUTED_VALUE"""),"https://ryunome-chofu.com/")</f>
        <v>https://ryunome-chofu.com/</v>
      </c>
      <c r="D51" s="6" t="str">
        <f>IFERROR(__xludf.DUMMYFUNCTION("""COMPUTED_VALUE"""),"△")</f>
        <v>△</v>
      </c>
      <c r="E51" s="6" t="str">
        <f>IFERROR(__xludf.DUMMYFUNCTION("""COMPUTED_VALUE"""),"情報が散漫で整理が必要")</f>
        <v>情報が散漫で整理が必要</v>
      </c>
      <c r="G51" s="10" t="s">
        <v>321</v>
      </c>
    </row>
    <row r="52">
      <c r="A52" s="6" t="str">
        <f t="shared" si="1"/>
        <v>0543</v>
      </c>
      <c r="B52" s="1" t="s">
        <v>322</v>
      </c>
      <c r="G52" s="13"/>
    </row>
    <row r="53">
      <c r="A53" s="6" t="str">
        <f t="shared" si="1"/>
        <v>0544</v>
      </c>
      <c r="B53" s="6" t="str">
        <f>IFERROR(__xludf.DUMMYFUNCTION("QUERY('追加'!A:D, ""select * where C='△'"", 1)"),"リラクゼーションサロンCitrus")</f>
        <v>リラクゼーションサロンCitrus</v>
      </c>
      <c r="C53" s="7" t="str">
        <f>IFERROR(__xludf.DUMMYFUNCTION("""COMPUTED_VALUE"""),"http://aromaroomcitrus.jp/")</f>
        <v>http://aromaroomcitrus.jp/</v>
      </c>
      <c r="D53" s="6" t="str">
        <f>IFERROR(__xludf.DUMMYFUNCTION("""COMPUTED_VALUE"""),"△")</f>
        <v>△</v>
      </c>
      <c r="E53" s="6" t="str">
        <f>IFERROR(__xludf.DUMMYFUNCTION("""COMPUTED_VALUE"""),"デザインが古く情報が少なく構成が弱い")</f>
        <v>デザインが古く情報が少なく構成が弱い</v>
      </c>
    </row>
    <row r="54">
      <c r="A54" s="6" t="str">
        <f t="shared" si="1"/>
        <v>0545</v>
      </c>
      <c r="B54" s="6" t="str">
        <f>IFERROR(__xludf.DUMMYFUNCTION("""COMPUTED_VALUE"""),"アストロウィッチセラピーリブラ")</f>
        <v>アストロウィッチセラピーリブラ</v>
      </c>
      <c r="C54" s="7" t="str">
        <f>IFERROR(__xludf.DUMMYFUNCTION("""COMPUTED_VALUE"""),"https://librarelaxationroom.wixsite.com/libra")</f>
        <v>https://librarelaxationroom.wixsite.com/libra</v>
      </c>
      <c r="D54" s="6" t="str">
        <f>IFERROR(__xludf.DUMMYFUNCTION("""COMPUTED_VALUE"""),"△")</f>
        <v>△</v>
      </c>
      <c r="E54" s="6" t="str">
        <f>IFERROR(__xludf.DUMMYFUNCTION("""COMPUTED_VALUE"""),"Wixの無料テンプレートでデザインが弱い")</f>
        <v>Wixの無料テンプレートでデザインが弱い</v>
      </c>
    </row>
    <row r="55">
      <c r="A55" s="6" t="str">
        <f t="shared" si="1"/>
        <v>0546</v>
      </c>
      <c r="B55" s="6" t="str">
        <f>IFERROR(__xludf.DUMMYFUNCTION("""COMPUTED_VALUE"""),"東中野心理相談室")</f>
        <v>東中野心理相談室</v>
      </c>
      <c r="C55" s="7" t="str">
        <f>IFERROR(__xludf.DUMMYFUNCTION("""COMPUTED_VALUE"""),"https://www.higashinakano-shinrisoudan.com/")</f>
        <v>https://www.higashinakano-shinrisoudan.com/</v>
      </c>
      <c r="D55" s="6" t="str">
        <f>IFERROR(__xludf.DUMMYFUNCTION("""COMPUTED_VALUE"""),"△")</f>
        <v>△</v>
      </c>
      <c r="E55" s="6" t="str">
        <f>IFERROR(__xludf.DUMMYFUNCTION("""COMPUTED_VALUE"""),"Wixテンプレートでデザインが弱く情報が整理されていない")</f>
        <v>Wixテンプレートでデザインが弱く情報が整理されていない</v>
      </c>
    </row>
    <row r="56">
      <c r="A56" s="6" t="str">
        <f t="shared" si="1"/>
        <v>0547</v>
      </c>
      <c r="B56" s="6" t="str">
        <f>IFERROR(__xludf.DUMMYFUNCTION("""COMPUTED_VALUE"""),"心理相談室セラペイア")</f>
        <v>心理相談室セラペイア</v>
      </c>
      <c r="C56" s="7" t="str">
        <f>IFERROR(__xludf.DUMMYFUNCTION("""COMPUTED_VALUE"""),"https://www.therapeia.jp/")</f>
        <v>https://www.therapeia.jp/</v>
      </c>
      <c r="D56" s="6" t="str">
        <f>IFERROR(__xludf.DUMMYFUNCTION("""COMPUTED_VALUE"""),"△")</f>
        <v>△</v>
      </c>
      <c r="E56" s="6" t="str">
        <f>IFERROR(__xludf.DUMMYFUNCTION("""COMPUTED_VALUE"""),"2014年頃の古いデザインでブログ形式の構成が整理されていない")</f>
        <v>2014年頃の古いデザインでブログ形式の構成が整理されていない</v>
      </c>
    </row>
    <row r="57">
      <c r="A57" s="6" t="str">
        <f t="shared" si="1"/>
        <v>0548</v>
      </c>
      <c r="B57" s="6" t="str">
        <f>IFERROR(__xludf.DUMMYFUNCTION("""COMPUTED_VALUE"""),"カウンセリングルームRE")</f>
        <v>カウンセリングルームRE</v>
      </c>
      <c r="C57" s="7" t="str">
        <f>IFERROR(__xludf.DUMMYFUNCTION("""COMPUTED_VALUE"""),"https://office-tkm.co.jp/")</f>
        <v>https://office-tkm.co.jp/</v>
      </c>
      <c r="D57" s="6" t="str">
        <f>IFERROR(__xludf.DUMMYFUNCTION("""COMPUTED_VALUE"""),"△")</f>
        <v>△</v>
      </c>
      <c r="E57" s="6" t="str">
        <f>IFERROR(__xludf.DUMMYFUNCTION("""COMPUTED_VALUE"""),"デザインは比較的新しいが情報がテキスト中心で構成が硬い")</f>
        <v>デザインは比較的新しいが情報がテキスト中心で構成が硬い</v>
      </c>
    </row>
    <row r="58">
      <c r="A58" s="6" t="str">
        <f t="shared" si="1"/>
        <v>0549</v>
      </c>
      <c r="B58" s="6" t="str">
        <f>IFERROR(__xludf.DUMMYFUNCTION("""COMPUTED_VALUE"""),"汐見カウンセリングオフィス")</f>
        <v>汐見カウンセリングオフィス</v>
      </c>
      <c r="C58" s="7" t="str">
        <f>IFERROR(__xludf.DUMMYFUNCTION("""COMPUTED_VALUE"""),"https://www.shiomi-counseling.jp/")</f>
        <v>https://www.shiomi-counseling.jp/</v>
      </c>
      <c r="D58" s="6" t="str">
        <f>IFERROR(__xludf.DUMMYFUNCTION("""COMPUTED_VALUE"""),"△")</f>
        <v>△</v>
      </c>
      <c r="E58" s="6" t="str">
        <f>IFERROR(__xludf.DUMMYFUNCTION("""COMPUTED_VALUE"""),"情報量は多いがデザインが古く全体的に硬い印象")</f>
        <v>情報量は多いがデザインが古く全体的に硬い印象</v>
      </c>
    </row>
    <row r="59">
      <c r="A59" s="6" t="str">
        <f t="shared" si="1"/>
        <v>0550</v>
      </c>
      <c r="B59" s="6" t="str">
        <f>IFERROR(__xludf.DUMMYFUNCTION("""COMPUTED_VALUE"""),"Beauty Lounge JUNE")</f>
        <v>Beauty Lounge JUNE</v>
      </c>
      <c r="C59" s="7" t="str">
        <f>IFERROR(__xludf.DUMMYFUNCTION("""COMPUTED_VALUE"""),"https://beautyloungejune.wixsite.com/june/touch-healing")</f>
        <v>https://beautyloungejune.wixsite.com/june/touch-healing</v>
      </c>
      <c r="D59" s="6" t="str">
        <f>IFERROR(__xludf.DUMMYFUNCTION("""COMPUTED_VALUE"""),"△")</f>
        <v>△</v>
      </c>
      <c r="E59" s="6" t="str">
        <f>IFERROR(__xludf.DUMMYFUNCTION("""COMPUTED_VALUE"""),"Wixの無料テンプレートで構成が弱い")</f>
        <v>Wixの無料テンプレートで構成が弱い</v>
      </c>
    </row>
    <row r="60">
      <c r="A60" s="6" t="str">
        <f t="shared" si="1"/>
        <v>0551</v>
      </c>
      <c r="B60" s="6" t="str">
        <f>IFERROR(__xludf.DUMMYFUNCTION("""COMPUTED_VALUE"""),"Session Room LUNA")</f>
        <v>Session Room LUNA</v>
      </c>
      <c r="C60" s="7" t="str">
        <f>IFERROR(__xludf.DUMMYFUNCTION("""COMPUTED_VALUE"""),"http://luna104.net/")</f>
        <v>http://luna104.net/</v>
      </c>
      <c r="D60" s="6" t="str">
        <f>IFERROR(__xludf.DUMMYFUNCTION("""COMPUTED_VALUE"""),"△")</f>
        <v>△</v>
      </c>
      <c r="E60" s="6" t="str">
        <f>IFERROR(__xludf.DUMMYFUNCTION("""COMPUTED_VALUE"""),"サイト全体が古く情報が整理されていない")</f>
        <v>サイト全体が古く情報が整理されていない</v>
      </c>
    </row>
    <row r="61">
      <c r="A61" s="6" t="str">
        <f t="shared" si="1"/>
        <v>0552</v>
      </c>
      <c r="B61" s="6" t="str">
        <f>IFERROR(__xludf.DUMMYFUNCTION("""COMPUTED_VALUE"""),"メンタルケアサロン心の翼 馬込店")</f>
        <v>メンタルケアサロン心の翼 馬込店</v>
      </c>
      <c r="C61" s="7" t="str">
        <f>IFERROR(__xludf.DUMMYFUNCTION("""COMPUTED_VALUE"""),"https://kokoronotsubasa-magome.com/")</f>
        <v>https://kokoronotsubasa-magome.com/</v>
      </c>
      <c r="D61" s="6" t="str">
        <f>IFERROR(__xludf.DUMMYFUNCTION("""COMPUTED_VALUE"""),"△")</f>
        <v>△</v>
      </c>
      <c r="E61" s="6" t="str">
        <f>IFERROR(__xludf.DUMMYFUNCTION("""COMPUTED_VALUE"""),"デザインが古く装飾が多くて見づらい")</f>
        <v>デザインが古く装飾が多くて見づらい</v>
      </c>
    </row>
    <row r="62">
      <c r="A62" s="6" t="str">
        <f t="shared" si="1"/>
        <v>0553</v>
      </c>
      <c r="B62" s="6" t="str">
        <f>IFERROR(__xludf.DUMMYFUNCTION("""COMPUTED_VALUE"""),"Heart＆Body")</f>
        <v>Heart＆Body</v>
      </c>
      <c r="C62" s="7" t="str">
        <f>IFERROR(__xludf.DUMMYFUNCTION("""COMPUTED_VALUE"""),"https://heartbody.net/")</f>
        <v>https://heartbody.net/</v>
      </c>
      <c r="D62" s="6" t="str">
        <f>IFERROR(__xludf.DUMMYFUNCTION("""COMPUTED_VALUE"""),"△")</f>
        <v>△</v>
      </c>
      <c r="E62" s="6" t="str">
        <f>IFERROR(__xludf.DUMMYFUNCTION("""COMPUTED_VALUE"""),"ブログ形式で情報が埋もれておりデザインが弱い")</f>
        <v>ブログ形式で情報が埋もれておりデザインが弱い</v>
      </c>
    </row>
    <row r="63">
      <c r="A63" s="6" t="str">
        <f t="shared" si="1"/>
        <v>0554</v>
      </c>
      <c r="B63" s="6" t="str">
        <f>IFERROR(__xludf.DUMMYFUNCTION("""COMPUTED_VALUE"""),"Rikott")</f>
        <v>Rikott</v>
      </c>
      <c r="C63" s="7" t="str">
        <f>IFERROR(__xludf.DUMMYFUNCTION("""COMPUTED_VALUE"""),"https://www.eiseinetwork.com/rikott/")</f>
        <v>https://www.eiseinetwork.com/rikott/</v>
      </c>
      <c r="D63" s="6" t="str">
        <f>IFERROR(__xludf.DUMMYFUNCTION("""COMPUTED_VALUE"""),"△")</f>
        <v>△</v>
      </c>
      <c r="E63" s="6" t="str">
        <f>IFERROR(__xludf.DUMMYFUNCTION("""COMPUTED_VALUE"""),"簡易的なデザインで情報が少なく構成が弱い")</f>
        <v>簡易的なデザインで情報が少なく構成が弱い</v>
      </c>
    </row>
    <row r="64">
      <c r="A64" s="6" t="str">
        <f t="shared" si="1"/>
        <v>0555</v>
      </c>
      <c r="B64" s="6" t="str">
        <f>IFERROR(__xludf.DUMMYFUNCTION("""COMPUTED_VALUE"""),"Love Light 癒やしサロン蓮")</f>
        <v>Love Light 癒やしサロン蓮</v>
      </c>
      <c r="C64" s="7" t="str">
        <f>IFERROR(__xludf.DUMMYFUNCTION("""COMPUTED_VALUE"""),"https://lovelight0207.com/")</f>
        <v>https://lovelight0207.com/</v>
      </c>
      <c r="D64" s="6" t="str">
        <f>IFERROR(__xludf.DUMMYFUNCTION("""COMPUTED_VALUE"""),"△")</f>
        <v>△</v>
      </c>
      <c r="E64" s="6" t="str">
        <f>IFERROR(__xludf.DUMMYFUNCTION("""COMPUTED_VALUE"""),"縦長で情報過多かつデザインが統一されておらず見づらい")</f>
        <v>縦長で情報過多かつデザインが統一されておらず見づらい</v>
      </c>
    </row>
    <row r="65">
      <c r="A65" s="6" t="str">
        <f t="shared" si="1"/>
        <v>0556</v>
      </c>
      <c r="B65" s="6" t="str">
        <f>IFERROR(__xludf.DUMMYFUNCTION("""COMPUTED_VALUE"""),"Sparkling Self（スパークリングセルフ）")</f>
        <v>Sparkling Self（スパークリングセルフ）</v>
      </c>
      <c r="C65" s="7" t="str">
        <f>IFERROR(__xludf.DUMMYFUNCTION("""COMPUTED_VALUE"""),"https://sparklingself333.wixsite.com/my-site/treatments")</f>
        <v>https://sparklingself333.wixsite.com/my-site/treatments</v>
      </c>
      <c r="D65" s="6" t="str">
        <f>IFERROR(__xludf.DUMMYFUNCTION("""COMPUTED_VALUE"""),"△")</f>
        <v>△</v>
      </c>
      <c r="E65" s="6" t="str">
        <f>IFERROR(__xludf.DUMMYFUNCTION("""COMPUTED_VALUE"""),"Wixの無料テンプレートでデザインが弱い")</f>
        <v>Wixの無料テンプレートでデザインが弱い</v>
      </c>
    </row>
    <row r="66">
      <c r="A66" s="6" t="str">
        <f t="shared" si="1"/>
        <v>0557</v>
      </c>
      <c r="B66" s="6" t="str">
        <f>IFERROR(__xludf.DUMMYFUNCTION("""COMPUTED_VALUE"""),"Aromatherapy salon碧のしずく")</f>
        <v>Aromatherapy salon碧のしずく</v>
      </c>
      <c r="C66" s="7" t="str">
        <f>IFERROR(__xludf.DUMMYFUNCTION("""COMPUTED_VALUE"""),"https://aonosizuku.snapsalon.jp/")</f>
        <v>https://aonosizuku.snapsalon.jp/</v>
      </c>
      <c r="D66" s="6" t="str">
        <f>IFERROR(__xludf.DUMMYFUNCTION("""COMPUTED_VALUE"""),"△")</f>
        <v>△</v>
      </c>
      <c r="E66" s="6" t="str">
        <f>IFERROR(__xludf.DUMMYFUNCTION("""COMPUTED_VALUE"""),"Snapsalonテンプレートで情報が分散している")</f>
        <v>Snapsalonテンプレートで情報が分散している</v>
      </c>
    </row>
    <row r="67">
      <c r="A67" s="6" t="str">
        <f t="shared" si="1"/>
        <v>0558</v>
      </c>
      <c r="B67" s="6" t="str">
        <f>IFERROR(__xludf.DUMMYFUNCTION("""COMPUTED_VALUE"""),"腸もみ整体プライベートサロン桜の間")</f>
        <v>腸もみ整体プライベートサロン桜の間</v>
      </c>
      <c r="C67" s="7" t="str">
        <f>IFERROR(__xludf.DUMMYFUNCTION("""COMPUTED_VALUE"""),"https://benpikaishosalon.wordpress.com/")</f>
        <v>https://benpikaishosalon.wordpress.com/</v>
      </c>
      <c r="D67" s="6" t="str">
        <f>IFERROR(__xludf.DUMMYFUNCTION("""COMPUTED_VALUE"""),"△")</f>
        <v>△</v>
      </c>
      <c r="E67" s="6" t="str">
        <f>IFERROR(__xludf.DUMMYFUNCTION("""COMPUTED_VALUE"""),"WordPress.com無料ブログでデザインが簡易的")</f>
        <v>WordPress.com無料ブログでデザインが簡易的</v>
      </c>
    </row>
    <row r="68">
      <c r="A68" s="6" t="str">
        <f t="shared" si="1"/>
        <v>0559</v>
      </c>
      <c r="B68" s="6" t="str">
        <f>IFERROR(__xludf.DUMMYFUNCTION("""COMPUTED_VALUE"""),"カウンセリングルームたま")</f>
        <v>カウンセリングルームたま</v>
      </c>
      <c r="C68" s="7" t="str">
        <f>IFERROR(__xludf.DUMMYFUNCTION("""COMPUTED_VALUE"""),"https://www.coroom.tokyo/")</f>
        <v>https://www.coroom.tokyo/</v>
      </c>
      <c r="D68" s="6" t="str">
        <f>IFERROR(__xludf.DUMMYFUNCTION("""COMPUTED_VALUE"""),"△")</f>
        <v>△</v>
      </c>
      <c r="E68" s="6" t="str">
        <f>IFERROR(__xludf.DUMMYFUNCTION("""COMPUTED_VALUE"""),"Jimdo無料版でデザインが古く構成が弱い")</f>
        <v>Jimdo無料版でデザインが古く構成が弱い</v>
      </c>
    </row>
    <row r="69">
      <c r="A69" s="6" t="str">
        <f t="shared" si="1"/>
        <v>0560</v>
      </c>
      <c r="B69" s="6" t="str">
        <f>IFERROR(__xludf.DUMMYFUNCTION("""COMPUTED_VALUE"""),"東京南大沢ヒーリングサロンYURURI")</f>
        <v>東京南大沢ヒーリングサロンYURURI</v>
      </c>
      <c r="C69" s="7" t="str">
        <f>IFERROR(__xludf.DUMMYFUNCTION("""COMPUTED_VALUE"""),"https://yururi2020.jimdofree.com/")</f>
        <v>https://yururi2020.jimdofree.com/</v>
      </c>
      <c r="D69" s="6" t="str">
        <f>IFERROR(__xludf.DUMMYFUNCTION("""COMPUTED_VALUE"""),"△")</f>
        <v>△</v>
      </c>
      <c r="E69" s="6" t="str">
        <f>IFERROR(__xludf.DUMMYFUNCTION("""COMPUTED_VALUE"""),"Jimdo無料版でデザインが古く構成が弱い")</f>
        <v>Jimdo無料版でデザインが古く構成が弱い</v>
      </c>
    </row>
    <row r="70">
      <c r="A70" s="6" t="str">
        <f t="shared" si="1"/>
        <v>0561</v>
      </c>
      <c r="B70" s="6" t="str">
        <f>IFERROR(__xludf.DUMMYFUNCTION("""COMPUTED_VALUE"""),"はこにわサロン東京")</f>
        <v>はこにわサロン東京</v>
      </c>
      <c r="C70" s="7" t="str">
        <f>IFERROR(__xludf.DUMMYFUNCTION("""COMPUTED_VALUE"""),"https://hakoniwasalon.com/")</f>
        <v>https://hakoniwasalon.com/</v>
      </c>
      <c r="D70" s="6" t="str">
        <f>IFERROR(__xludf.DUMMYFUNCTION("""COMPUTED_VALUE"""),"△")</f>
        <v>△</v>
      </c>
      <c r="E70" s="6" t="str">
        <f>IFERROR(__xludf.DUMMYFUNCTION("""COMPUTED_VALUE"""),"デザインが古く情報が整理されていない")</f>
        <v>デザインが古く情報が整理されていない</v>
      </c>
    </row>
    <row r="71">
      <c r="A71" s="6" t="str">
        <f t="shared" si="1"/>
        <v>0562</v>
      </c>
      <c r="B71" s="6" t="str">
        <f>IFERROR(__xludf.DUMMYFUNCTION("""COMPUTED_VALUE"""),"Healing glows")</f>
        <v>Healing glows</v>
      </c>
      <c r="C71" s="7" t="str">
        <f>IFERROR(__xludf.DUMMYFUNCTION("""COMPUTED_VALUE"""),"https://hot-mayma-healer.com/")</f>
        <v>https://hot-mayma-healer.com/</v>
      </c>
      <c r="D71" s="6" t="str">
        <f>IFERROR(__xludf.DUMMYFUNCTION("""COMPUTED_VALUE"""),"△")</f>
        <v>△</v>
      </c>
      <c r="E71" s="6" t="str">
        <f>IFERROR(__xludf.DUMMYFUNCTION("""COMPUTED_VALUE"""),"デザインが古く情報が整理されていない")</f>
        <v>デザインが古く情報が整理されていない</v>
      </c>
    </row>
    <row r="72">
      <c r="A72" s="6" t="str">
        <f t="shared" si="1"/>
        <v>0563</v>
      </c>
      <c r="B72" s="6" t="str">
        <f>IFERROR(__xludf.DUMMYFUNCTION("""COMPUTED_VALUE"""),"ほけんしつ")</f>
        <v>ほけんしつ</v>
      </c>
      <c r="C72" s="7" t="str">
        <f>IFERROR(__xludf.DUMMYFUNCTION("""COMPUTED_VALUE"""),"https://hoken-shitsu.com/")</f>
        <v>https://hoken-shitsu.com/</v>
      </c>
      <c r="D72" s="6" t="str">
        <f>IFERROR(__xludf.DUMMYFUNCTION("""COMPUTED_VALUE"""),"△")</f>
        <v>△</v>
      </c>
      <c r="E72" s="6" t="str">
        <f>IFERROR(__xludf.DUMMYFUNCTION("""COMPUTED_VALUE"""),"デザインが古く情報が整理されていない")</f>
        <v>デザインが古く情報が整理されていない</v>
      </c>
    </row>
    <row r="73">
      <c r="A73" s="6" t="str">
        <f t="shared" si="1"/>
        <v>0564</v>
      </c>
      <c r="B73" s="6" t="str">
        <f>IFERROR(__xludf.DUMMYFUNCTION("""COMPUTED_VALUE"""),"東京小平の癒し空間 自宅サロンlemongrass/レモングラス")</f>
        <v>東京小平の癒し空間 自宅サロンlemongrass/レモングラス</v>
      </c>
      <c r="C73" s="7" t="str">
        <f>IFERROR(__xludf.DUMMYFUNCTION("""COMPUTED_VALUE"""),"https://lemongrass-salon.com/")</f>
        <v>https://lemongrass-salon.com/</v>
      </c>
      <c r="D73" s="6" t="str">
        <f>IFERROR(__xludf.DUMMYFUNCTION("""COMPUTED_VALUE"""),"△")</f>
        <v>△</v>
      </c>
      <c r="E73" s="6" t="str">
        <f>IFERROR(__xludf.DUMMYFUNCTION("""COMPUTED_VALUE"""),"デザインが古く情報が整理されていない")</f>
        <v>デザインが古く情報が整理されていない</v>
      </c>
    </row>
    <row r="74">
      <c r="A74" s="6" t="str">
        <f t="shared" si="1"/>
        <v>0565</v>
      </c>
      <c r="B74" s="6" t="str">
        <f>IFERROR(__xludf.DUMMYFUNCTION("""COMPUTED_VALUE"""),"きもちサロン")</f>
        <v>きもちサロン</v>
      </c>
      <c r="C74" s="7" t="str">
        <f>IFERROR(__xludf.DUMMYFUNCTION("""COMPUTED_VALUE"""),"https://www.kimochi-salon222.com/")</f>
        <v>https://www.kimochi-salon222.com/</v>
      </c>
      <c r="D74" s="6" t="str">
        <f>IFERROR(__xludf.DUMMYFUNCTION("""COMPUTED_VALUE"""),"△")</f>
        <v>△</v>
      </c>
      <c r="E74" s="6" t="str">
        <f>IFERROR(__xludf.DUMMYFUNCTION("""COMPUTED_VALUE"""),"デザインが古く情報が整理されていない")</f>
        <v>デザインが古く情報が整理されていない</v>
      </c>
    </row>
    <row r="75">
      <c r="A75" s="6" t="str">
        <f t="shared" si="1"/>
        <v>0566</v>
      </c>
      <c r="B75" s="6" t="str">
        <f>IFERROR(__xludf.DUMMYFUNCTION("""COMPUTED_VALUE"""),"kokoururu8")</f>
        <v>kokoururu8</v>
      </c>
      <c r="C75" s="7" t="str">
        <f>IFERROR(__xludf.DUMMYFUNCTION("""COMPUTED_VALUE"""),"https://kokoururu8.jimdofree.com/")</f>
        <v>https://kokoururu8.jimdofree.com/</v>
      </c>
      <c r="D75" s="6" t="str">
        <f>IFERROR(__xludf.DUMMYFUNCTION("""COMPUTED_VALUE"""),"△")</f>
        <v>△</v>
      </c>
      <c r="E75" s="6" t="str">
        <f>IFERROR(__xludf.DUMMYFUNCTION("""COMPUTED_VALUE"""),"Jimdo無料版でデザインが弱い")</f>
        <v>Jimdo無料版でデザインが弱い</v>
      </c>
    </row>
    <row r="76">
      <c r="A76" s="6" t="str">
        <f t="shared" si="1"/>
        <v>0567</v>
      </c>
      <c r="B76" s="6" t="str">
        <f>IFERROR(__xludf.DUMMYFUNCTION("""COMPUTED_VALUE"""),"fumiamie")</f>
        <v>fumiamie</v>
      </c>
      <c r="C76" s="7" t="str">
        <f>IFERROR(__xludf.DUMMYFUNCTION("""COMPUTED_VALUE"""),"https://fumiamie.jimdofree.com/")</f>
        <v>https://fumiamie.jimdofree.com/</v>
      </c>
      <c r="D76" s="6" t="str">
        <f>IFERROR(__xludf.DUMMYFUNCTION("""COMPUTED_VALUE"""),"△")</f>
        <v>△</v>
      </c>
      <c r="E76" s="6" t="str">
        <f>IFERROR(__xludf.DUMMYFUNCTION("""COMPUTED_VALUE"""),"Jimdo無料版でデザインが弱い")</f>
        <v>Jimdo無料版でデザインが弱い</v>
      </c>
    </row>
    <row r="77">
      <c r="A77" s="6" t="str">
        <f t="shared" si="1"/>
        <v>0568</v>
      </c>
      <c r="B77" s="6" t="str">
        <f>IFERROR(__xludf.DUMMYFUNCTION("""COMPUTED_VALUE"""),"jutolycaroma")</f>
        <v>jutolycaroma</v>
      </c>
      <c r="C77" s="7" t="str">
        <f>IFERROR(__xludf.DUMMYFUNCTION("""COMPUTED_VALUE"""),"https://jutolycaroma.jimdofree.com/")</f>
        <v>https://jutolycaroma.jimdofree.com/</v>
      </c>
      <c r="D77" s="6" t="str">
        <f>IFERROR(__xludf.DUMMYFUNCTION("""COMPUTED_VALUE"""),"△")</f>
        <v>△</v>
      </c>
      <c r="E77" s="6" t="str">
        <f>IFERROR(__xludf.DUMMYFUNCTION("""COMPUTED_VALUE"""),"Jimdo無料版でデザインが弱い")</f>
        <v>Jimdo無料版でデザインが弱い</v>
      </c>
    </row>
    <row r="78">
      <c r="A78" s="6" t="str">
        <f t="shared" si="1"/>
        <v>0569</v>
      </c>
      <c r="B78" s="6" t="str">
        <f>IFERROR(__xludf.DUMMYFUNCTION("""COMPUTED_VALUE"""),"kewarra-bodyhealing")</f>
        <v>kewarra-bodyhealing</v>
      </c>
      <c r="C78" s="7" t="str">
        <f>IFERROR(__xludf.DUMMYFUNCTION("""COMPUTED_VALUE"""),"https://kewarra-bodyhealing.jimdofree.com/")</f>
        <v>https://kewarra-bodyhealing.jimdofree.com/</v>
      </c>
      <c r="D78" s="6" t="str">
        <f>IFERROR(__xludf.DUMMYFUNCTION("""COMPUTED_VALUE"""),"△")</f>
        <v>△</v>
      </c>
      <c r="E78" s="6" t="str">
        <f>IFERROR(__xludf.DUMMYFUNCTION("""COMPUTED_VALUE"""),"Jimdo無料版でデザインが弱い")</f>
        <v>Jimdo無料版でデザインが弱い</v>
      </c>
    </row>
    <row r="79">
      <c r="A79" s="6" t="str">
        <f t="shared" si="1"/>
        <v>0570</v>
      </c>
      <c r="B79" s="6" t="str">
        <f>IFERROR(__xludf.DUMMYFUNCTION("""COMPUTED_VALUE"""),"awoke")</f>
        <v>awoke</v>
      </c>
      <c r="C79" s="7" t="str">
        <f>IFERROR(__xludf.DUMMYFUNCTION("""COMPUTED_VALUE"""),"http://awoke.jimdo.com/")</f>
        <v>http://awoke.jimdo.com/</v>
      </c>
      <c r="D79" s="6" t="str">
        <f>IFERROR(__xludf.DUMMYFUNCTION("""COMPUTED_VALUE"""),"△")</f>
        <v>△</v>
      </c>
      <c r="E79" s="6" t="str">
        <f>IFERROR(__xludf.DUMMYFUNCTION("""COMPUTED_VALUE"""),"Jimdo無料版でデザインが弱い")</f>
        <v>Jimdo無料版でデザインが弱い</v>
      </c>
    </row>
    <row r="80">
      <c r="A80" s="6" t="str">
        <f t="shared" si="1"/>
        <v>0571</v>
      </c>
      <c r="B80" s="6" t="str">
        <f>IFERROR(__xludf.DUMMYFUNCTION("""COMPUTED_VALUE"""),"sinsindo")</f>
        <v>sinsindo</v>
      </c>
      <c r="C80" s="7" t="str">
        <f>IFERROR(__xludf.DUMMYFUNCTION("""COMPUTED_VALUE"""),"https://bosan32000.wixsite.com/sinsindo/%E8%A4%87%E8%A3%BD-%E5%80%8B%E4%BA%BA%EF%BD%BE%EF%BD%AF%EF%BD%BC%EF%BD%AE%EF%BE%9D")</f>
        <v>https://bosan32000.wixsite.com/sinsindo/%E8%A4%87%E8%A3%BD-%E5%80%8B%E4%BA%BA%EF%BD%BE%EF%BD%AF%EF%BD%BC%EF%BD%AE%EF%BE%9D</v>
      </c>
      <c r="D80" s="6" t="str">
        <f>IFERROR(__xludf.DUMMYFUNCTION("""COMPUTED_VALUE"""),"△")</f>
        <v>△</v>
      </c>
      <c r="E80" s="6" t="str">
        <f>IFERROR(__xludf.DUMMYFUNCTION("""COMPUTED_VALUE"""),"Wix無料版でデザインが弱い")</f>
        <v>Wix無料版でデザインが弱い</v>
      </c>
    </row>
    <row r="81">
      <c r="A81" s="6" t="str">
        <f t="shared" si="1"/>
        <v>0572</v>
      </c>
      <c r="B81" s="6" t="str">
        <f>IFERROR(__xludf.DUMMYFUNCTION("""COMPUTED_VALUE"""),"Uplift Journey")</f>
        <v>Uplift Journey</v>
      </c>
      <c r="C81" s="7" t="str">
        <f>IFERROR(__xludf.DUMMYFUNCTION("""COMPUTED_VALUE"""),"https://heartliftup.amebaownd.com/")</f>
        <v>https://heartliftup.amebaownd.com/</v>
      </c>
      <c r="D81" s="6" t="str">
        <f>IFERROR(__xludf.DUMMYFUNCTION("""COMPUTED_VALUE"""),"△")</f>
        <v>△</v>
      </c>
      <c r="E81" s="6" t="str">
        <f>IFERROR(__xludf.DUMMYFUNCTION("""COMPUTED_VALUE"""),"Ameba Owndでデザインが弱い")</f>
        <v>Ameba Owndでデザインが弱い</v>
      </c>
    </row>
    <row r="82">
      <c r="A82" s="6" t="str">
        <f t="shared" si="1"/>
        <v>0573</v>
      </c>
      <c r="B82" s="6" t="str">
        <f>IFERROR(__xludf.DUMMYFUNCTION("""COMPUTED_VALUE"""),"こころとからだの相談室 ほっと")</f>
        <v>こころとからだの相談室 ほっと</v>
      </c>
      <c r="C82" s="7" t="str">
        <f>IFERROR(__xludf.DUMMYFUNCTION("""COMPUTED_VALUE"""),"https://kokorotokaradanosoudansitsu.jimdofree.com/")</f>
        <v>https://kokorotokaradanosoudansitsu.jimdofree.com/</v>
      </c>
      <c r="D82" s="6" t="str">
        <f>IFERROR(__xludf.DUMMYFUNCTION("""COMPUTED_VALUE"""),"△")</f>
        <v>△</v>
      </c>
      <c r="E82" s="6" t="str">
        <f>IFERROR(__xludf.DUMMYFUNCTION("""COMPUTED_VALUE"""),"Jimdo無料版でデザインが弱い")</f>
        <v>Jimdo無料版でデザインが弱い</v>
      </c>
    </row>
    <row r="83">
      <c r="A83" s="6" t="str">
        <f t="shared" si="1"/>
        <v>0574</v>
      </c>
      <c r="B83" s="6" t="str">
        <f>IFERROR(__xludf.DUMMYFUNCTION("""COMPUTED_VALUE"""),"ミディアム山影青生（青い三角通信）")</f>
        <v>ミディアム山影青生（青い三角通信）</v>
      </c>
      <c r="C83" s="7" t="str">
        <f>IFERROR(__xludf.DUMMYFUNCTION("""COMPUTED_VALUE"""),"https://a3kaku.jimdofree.com/")</f>
        <v>https://a3kaku.jimdofree.com/</v>
      </c>
      <c r="D83" s="6" t="str">
        <f>IFERROR(__xludf.DUMMYFUNCTION("""COMPUTED_VALUE"""),"△")</f>
        <v>△</v>
      </c>
      <c r="E83" s="6" t="str">
        <f>IFERROR(__xludf.DUMMYFUNCTION("""COMPUTED_VALUE"""),"Jimdo無料版でデザインが古く構成が弱い")</f>
        <v>Jimdo無料版でデザインが古く構成が弱い</v>
      </c>
    </row>
    <row r="84">
      <c r="A84" s="6" t="str">
        <f t="shared" si="1"/>
        <v>0575</v>
      </c>
      <c r="B84" s="6" t="str">
        <f>IFERROR(__xludf.DUMMYFUNCTION("""COMPUTED_VALUE"""),"オンラインヨーガセラピーと気功（氣幸）ヒーリング")</f>
        <v>オンラインヨーガセラピーと気功（氣幸）ヒーリング</v>
      </c>
      <c r="C84" s="7" t="str">
        <f>IFERROR(__xludf.DUMMYFUNCTION("""COMPUTED_VALUE"""),"https://mimiyogasmile.jimdoweb.com/")</f>
        <v>https://mimiyogasmile.jimdoweb.com/</v>
      </c>
      <c r="D84" s="6" t="str">
        <f>IFERROR(__xludf.DUMMYFUNCTION("""COMPUTED_VALUE"""),"△")</f>
        <v>△</v>
      </c>
      <c r="E84" s="6" t="str">
        <f>IFERROR(__xludf.DUMMYFUNCTION("""COMPUTED_VALUE"""),"Jimdo無料版でデザインが古く情報が過多")</f>
        <v>Jimdo無料版でデザインが古く情報が過多</v>
      </c>
    </row>
    <row r="85">
      <c r="A85" s="6" t="str">
        <f t="shared" si="1"/>
        <v>0576</v>
      </c>
      <c r="B85" s="6" t="str">
        <f>IFERROR(__xludf.DUMMYFUNCTION("""COMPUTED_VALUE"""),"スピリチュアルヒーリングサロンSHANTI")</f>
        <v>スピリチュアルヒーリングサロンSHANTI</v>
      </c>
      <c r="C85" s="7" t="str">
        <f>IFERROR(__xludf.DUMMYFUNCTION("""COMPUTED_VALUE"""),"https://shanti8.jimdofree.com/")</f>
        <v>https://shanti8.jimdofree.com/</v>
      </c>
      <c r="D85" s="6" t="str">
        <f>IFERROR(__xludf.DUMMYFUNCTION("""COMPUTED_VALUE"""),"△")</f>
        <v>△</v>
      </c>
      <c r="E85" s="6" t="str">
        <f>IFERROR(__xludf.DUMMYFUNCTION("""COMPUTED_VALUE"""),"Jimdo無料版でデザインが古く情報が整理されていない")</f>
        <v>Jimdo無料版でデザインが古く情報が整理されていない</v>
      </c>
    </row>
    <row r="86">
      <c r="A86" s="6" t="str">
        <f t="shared" si="1"/>
        <v>0577</v>
      </c>
      <c r="B86" s="6" t="str">
        <f>IFERROR(__xludf.DUMMYFUNCTION("""COMPUTED_VALUE"""),"チャネリングCafe 南澤のりこ")</f>
        <v>チャネリングCafe 南澤のりこ</v>
      </c>
      <c r="C86" s="7" t="str">
        <f>IFERROR(__xludf.DUMMYFUNCTION("""COMPUTED_VALUE"""),"https://www.channeling-cafe.com/")</f>
        <v>https://www.channeling-cafe.com/</v>
      </c>
      <c r="D86" s="6" t="str">
        <f>IFERROR(__xludf.DUMMYFUNCTION("""COMPUTED_VALUE"""),"△")</f>
        <v>△</v>
      </c>
      <c r="E86" s="6" t="str">
        <f>IFERROR(__xludf.DUMMYFUNCTION("""COMPUTED_VALUE"""),"ブログ形式で情報が埋もれておりデザインが弱い")</f>
        <v>ブログ形式で情報が埋もれておりデザインが弱い</v>
      </c>
    </row>
    <row r="87">
      <c r="A87" s="6" t="str">
        <f t="shared" si="1"/>
        <v>0578</v>
      </c>
      <c r="B87" s="6" t="str">
        <f>IFERROR(__xludf.DUMMYFUNCTION("""COMPUTED_VALUE"""),"あさごや")</f>
        <v>あさごや</v>
      </c>
      <c r="C87" s="7" t="str">
        <f>IFERROR(__xludf.DUMMYFUNCTION("""COMPUTED_VALUE"""),"https://www.asagoya.net/")</f>
        <v>https://www.asagoya.net/</v>
      </c>
      <c r="D87" s="6" t="str">
        <f>IFERROR(__xludf.DUMMYFUNCTION("""COMPUTED_VALUE"""),"△")</f>
        <v>△</v>
      </c>
      <c r="E87" s="6" t="str">
        <f>IFERROR(__xludf.DUMMYFUNCTION("""COMPUTED_VALUE"""),"古民家風でコンセプトは良いがWebサイトが簡易的で構成が弱い")</f>
        <v>古民家風でコンセプトは良いがWebサイトが簡易的で構成が弱い</v>
      </c>
    </row>
    <row r="88">
      <c r="A88" s="6" t="str">
        <f t="shared" si="1"/>
        <v>0579</v>
      </c>
      <c r="B88" s="6" t="str">
        <f>IFERROR(__xludf.DUMMYFUNCTION("""COMPUTED_VALUE"""),"スピリチュアルエステサロン『ラ・ファーメ』")</f>
        <v>スピリチュアルエステサロン『ラ・ファーメ』</v>
      </c>
      <c r="C88" s="7" t="str">
        <f>IFERROR(__xludf.DUMMYFUNCTION("""COMPUTED_VALUE"""),"https://r.goope.jp/lafemme/")</f>
        <v>https://r.goope.jp/lafemme/</v>
      </c>
      <c r="D88" s="6" t="str">
        <f>IFERROR(__xludf.DUMMYFUNCTION("""COMPUTED_VALUE"""),"△")</f>
        <v>△</v>
      </c>
      <c r="E88" s="6" t="str">
        <f>IFERROR(__xludf.DUMMYFUNCTION("""COMPUTED_VALUE"""),"無料HPサービスでデザインが弱い")</f>
        <v>無料HPサービスでデザインが弱い</v>
      </c>
    </row>
  </sheetData>
  <hyperlinks>
    <hyperlink r:id="rId1" ref="C2"/>
    <hyperlink r:id="rId2" ref="G2"/>
    <hyperlink r:id="rId3" ref="C3"/>
    <hyperlink r:id="rId4" ref="G3"/>
    <hyperlink r:id="rId5" ref="C4"/>
    <hyperlink r:id="rId6" ref="G4"/>
    <hyperlink r:id="rId7" ref="C5"/>
    <hyperlink r:id="rId8" ref="G5"/>
    <hyperlink r:id="rId9" ref="C6"/>
    <hyperlink r:id="rId10" ref="G6"/>
    <hyperlink r:id="rId11" ref="C7"/>
    <hyperlink r:id="rId12" ref="G7"/>
    <hyperlink r:id="rId13" ref="C8"/>
    <hyperlink r:id="rId14" ref="G8"/>
    <hyperlink r:id="rId15" ref="C9"/>
    <hyperlink r:id="rId16" ref="G9"/>
    <hyperlink r:id="rId17" ref="C10"/>
    <hyperlink r:id="rId18" ref="G10"/>
    <hyperlink r:id="rId19" ref="C11"/>
    <hyperlink r:id="rId20" ref="G11"/>
    <hyperlink r:id="rId21" ref="C12"/>
    <hyperlink r:id="rId22" ref="G12"/>
    <hyperlink r:id="rId23" ref="C13"/>
    <hyperlink r:id="rId24" ref="G13"/>
    <hyperlink r:id="rId25" ref="C14"/>
    <hyperlink r:id="rId26" ref="G14"/>
    <hyperlink r:id="rId27" ref="C15"/>
    <hyperlink r:id="rId28" ref="G15"/>
    <hyperlink r:id="rId29" ref="C16"/>
    <hyperlink r:id="rId30" ref="G16"/>
    <hyperlink r:id="rId31" ref="C17"/>
    <hyperlink r:id="rId32" ref="G17"/>
    <hyperlink r:id="rId33" ref="C18"/>
    <hyperlink r:id="rId34" ref="G18"/>
    <hyperlink r:id="rId35" ref="C19"/>
    <hyperlink r:id="rId36" ref="G19"/>
    <hyperlink r:id="rId37" ref="C20"/>
    <hyperlink r:id="rId38" ref="G20"/>
    <hyperlink r:id="rId39" ref="C21"/>
    <hyperlink r:id="rId40" ref="G21"/>
    <hyperlink r:id="rId41" ref="C22"/>
    <hyperlink r:id="rId42" ref="G22"/>
    <hyperlink r:id="rId43" ref="C23"/>
    <hyperlink r:id="rId44" ref="G23"/>
    <hyperlink r:id="rId45" ref="C24"/>
    <hyperlink r:id="rId46" ref="G24"/>
    <hyperlink r:id="rId47" ref="C25"/>
    <hyperlink r:id="rId48" ref="G25"/>
    <hyperlink r:id="rId49" ref="C26"/>
    <hyperlink r:id="rId50" ref="G26"/>
    <hyperlink r:id="rId51" ref="C27"/>
    <hyperlink r:id="rId52" ref="G27"/>
    <hyperlink r:id="rId53" ref="G28"/>
    <hyperlink r:id="rId54" ref="C29"/>
    <hyperlink r:id="rId55" ref="G29"/>
    <hyperlink r:id="rId56" ref="C30"/>
    <hyperlink r:id="rId57" ref="G30"/>
    <hyperlink r:id="rId58" ref="C31"/>
    <hyperlink r:id="rId59" ref="G31"/>
    <hyperlink r:id="rId60" ref="C32"/>
    <hyperlink r:id="rId61" ref="G32"/>
    <hyperlink r:id="rId62" ref="C33"/>
    <hyperlink r:id="rId63" ref="G33"/>
    <hyperlink r:id="rId64" ref="C34"/>
    <hyperlink r:id="rId65" ref="G34"/>
    <hyperlink r:id="rId66" ref="C35"/>
    <hyperlink r:id="rId67" ref="G35"/>
    <hyperlink r:id="rId68" ref="C36"/>
    <hyperlink r:id="rId69" ref="G36"/>
    <hyperlink r:id="rId70" ref="C37"/>
    <hyperlink r:id="rId71" ref="G37"/>
    <hyperlink r:id="rId72" ref="C38"/>
    <hyperlink r:id="rId73" ref="G38"/>
    <hyperlink r:id="rId74" ref="C39"/>
    <hyperlink r:id="rId75" ref="G39"/>
    <hyperlink r:id="rId76" ref="C40"/>
    <hyperlink r:id="rId77" ref="G40"/>
    <hyperlink r:id="rId78" ref="C41"/>
    <hyperlink r:id="rId79" ref="G41"/>
    <hyperlink r:id="rId80" ref="C42"/>
    <hyperlink r:id="rId81" ref="G42"/>
    <hyperlink r:id="rId82" ref="C43"/>
    <hyperlink r:id="rId83" ref="G43"/>
    <hyperlink r:id="rId84" ref="C44"/>
    <hyperlink r:id="rId85" ref="G44"/>
    <hyperlink r:id="rId86" ref="C45"/>
    <hyperlink r:id="rId87" ref="G45"/>
    <hyperlink r:id="rId88" ref="C46"/>
    <hyperlink r:id="rId89" ref="G46"/>
    <hyperlink r:id="rId90" ref="C47"/>
    <hyperlink r:id="rId91" ref="G47"/>
    <hyperlink r:id="rId92" ref="C48"/>
    <hyperlink r:id="rId93" ref="G48"/>
    <hyperlink r:id="rId94" ref="C49"/>
    <hyperlink r:id="rId95" ref="G49"/>
    <hyperlink r:id="rId96" ref="C50"/>
    <hyperlink r:id="rId97" ref="G50"/>
    <hyperlink r:id="rId98" ref="C51"/>
    <hyperlink r:id="rId99" ref="G51"/>
    <hyperlink r:id="rId100" ref="C53"/>
    <hyperlink r:id="rId101" ref="C54"/>
    <hyperlink r:id="rId102" ref="C55"/>
    <hyperlink r:id="rId103" ref="C56"/>
    <hyperlink r:id="rId104" ref="C57"/>
    <hyperlink r:id="rId105" ref="C58"/>
    <hyperlink r:id="rId106" ref="C59"/>
    <hyperlink r:id="rId107" ref="C60"/>
    <hyperlink r:id="rId108" ref="C61"/>
    <hyperlink r:id="rId109" ref="C62"/>
    <hyperlink r:id="rId110" ref="C63"/>
    <hyperlink r:id="rId111" ref="C64"/>
    <hyperlink r:id="rId112" ref="C65"/>
    <hyperlink r:id="rId113" ref="C66"/>
    <hyperlink r:id="rId114" ref="C67"/>
    <hyperlink r:id="rId115" ref="C68"/>
    <hyperlink r:id="rId116" ref="C69"/>
    <hyperlink r:id="rId117" ref="C70"/>
    <hyperlink r:id="rId118" ref="C71"/>
    <hyperlink r:id="rId119" ref="C72"/>
    <hyperlink r:id="rId120" ref="C73"/>
    <hyperlink r:id="rId121" ref="C74"/>
    <hyperlink r:id="rId122" ref="C75"/>
    <hyperlink r:id="rId123" ref="C76"/>
    <hyperlink r:id="rId124" ref="C77"/>
    <hyperlink r:id="rId125" ref="C78"/>
    <hyperlink r:id="rId126" ref="C79"/>
    <hyperlink r:id="rId127" ref="C80"/>
    <hyperlink r:id="rId128" ref="C81"/>
    <hyperlink r:id="rId129" ref="C82"/>
    <hyperlink r:id="rId130" ref="C83"/>
    <hyperlink r:id="rId131" ref="C84"/>
    <hyperlink r:id="rId132" ref="C85"/>
    <hyperlink r:id="rId133" ref="C86"/>
    <hyperlink r:id="rId134" ref="C87"/>
    <hyperlink r:id="rId135" ref="C88"/>
  </hyperlinks>
  <drawing r:id="rId13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323</v>
      </c>
      <c r="B1" s="4" t="s">
        <v>324</v>
      </c>
      <c r="C1" s="4" t="s">
        <v>325</v>
      </c>
      <c r="D1" s="4" t="s">
        <v>326</v>
      </c>
    </row>
    <row r="2">
      <c r="A2" s="4" t="s">
        <v>327</v>
      </c>
      <c r="B2" s="4" t="s">
        <v>328</v>
      </c>
      <c r="C2" s="4" t="s">
        <v>329</v>
      </c>
      <c r="D2" s="4" t="s">
        <v>330</v>
      </c>
    </row>
    <row r="3">
      <c r="A3" s="4" t="s">
        <v>331</v>
      </c>
      <c r="B3" s="4" t="s">
        <v>332</v>
      </c>
      <c r="C3" s="4" t="s">
        <v>329</v>
      </c>
      <c r="D3" s="4" t="s">
        <v>333</v>
      </c>
    </row>
    <row r="4">
      <c r="A4" s="4" t="s">
        <v>334</v>
      </c>
      <c r="B4" s="4" t="s">
        <v>335</v>
      </c>
      <c r="C4" s="4" t="s">
        <v>329</v>
      </c>
      <c r="D4" s="4" t="s">
        <v>336</v>
      </c>
    </row>
    <row r="5">
      <c r="A5" s="4" t="s">
        <v>337</v>
      </c>
      <c r="B5" s="4" t="s">
        <v>338</v>
      </c>
      <c r="C5" s="4" t="s">
        <v>339</v>
      </c>
      <c r="D5" s="4" t="s">
        <v>340</v>
      </c>
    </row>
    <row r="6">
      <c r="A6" s="4" t="s">
        <v>341</v>
      </c>
      <c r="B6" s="4" t="s">
        <v>342</v>
      </c>
      <c r="C6" s="4" t="s">
        <v>325</v>
      </c>
      <c r="D6" s="4" t="s">
        <v>343</v>
      </c>
    </row>
    <row r="7">
      <c r="A7" s="4" t="s">
        <v>344</v>
      </c>
      <c r="B7" s="4" t="s">
        <v>345</v>
      </c>
      <c r="C7" s="4" t="s">
        <v>339</v>
      </c>
      <c r="D7" s="4" t="s">
        <v>346</v>
      </c>
    </row>
    <row r="8">
      <c r="A8" s="4" t="s">
        <v>347</v>
      </c>
      <c r="B8" s="4" t="s">
        <v>348</v>
      </c>
      <c r="C8" s="4" t="s">
        <v>339</v>
      </c>
      <c r="D8" s="4" t="s">
        <v>349</v>
      </c>
    </row>
    <row r="9">
      <c r="A9" s="4" t="s">
        <v>350</v>
      </c>
      <c r="B9" s="4" t="s">
        <v>351</v>
      </c>
      <c r="C9" s="4" t="s">
        <v>339</v>
      </c>
      <c r="D9" s="4" t="s">
        <v>352</v>
      </c>
    </row>
    <row r="10">
      <c r="A10" s="4" t="s">
        <v>353</v>
      </c>
      <c r="B10" s="4" t="s">
        <v>354</v>
      </c>
      <c r="C10" s="4" t="s">
        <v>329</v>
      </c>
      <c r="D10" s="4" t="s">
        <v>355</v>
      </c>
    </row>
    <row r="11">
      <c r="A11" s="4" t="s">
        <v>356</v>
      </c>
      <c r="B11" s="4" t="s">
        <v>357</v>
      </c>
      <c r="C11" s="4" t="s">
        <v>329</v>
      </c>
      <c r="D11" s="4" t="s">
        <v>358</v>
      </c>
    </row>
    <row r="12">
      <c r="A12" s="4" t="s">
        <v>359</v>
      </c>
      <c r="B12" s="4" t="s">
        <v>360</v>
      </c>
      <c r="C12" s="4" t="s">
        <v>339</v>
      </c>
      <c r="D12" s="4" t="s">
        <v>361</v>
      </c>
    </row>
    <row r="13">
      <c r="A13" s="4" t="s">
        <v>362</v>
      </c>
      <c r="B13" s="4" t="s">
        <v>363</v>
      </c>
      <c r="C13" s="4" t="s">
        <v>339</v>
      </c>
      <c r="D13" s="4" t="s">
        <v>364</v>
      </c>
    </row>
    <row r="14">
      <c r="A14" s="4" t="s">
        <v>365</v>
      </c>
      <c r="B14" s="4" t="s">
        <v>366</v>
      </c>
      <c r="C14" s="4" t="s">
        <v>325</v>
      </c>
      <c r="D14" s="4" t="s">
        <v>367</v>
      </c>
    </row>
    <row r="15">
      <c r="A15" s="4" t="s">
        <v>368</v>
      </c>
      <c r="B15" s="4" t="s">
        <v>369</v>
      </c>
      <c r="C15" s="4" t="s">
        <v>329</v>
      </c>
      <c r="D15" s="4" t="s">
        <v>370</v>
      </c>
    </row>
    <row r="16">
      <c r="A16" s="4" t="s">
        <v>371</v>
      </c>
      <c r="B16" s="4" t="s">
        <v>372</v>
      </c>
      <c r="C16" s="4" t="s">
        <v>339</v>
      </c>
      <c r="D16" s="4" t="s">
        <v>373</v>
      </c>
    </row>
    <row r="17">
      <c r="A17" s="4" t="s">
        <v>374</v>
      </c>
      <c r="B17" s="4" t="s">
        <v>375</v>
      </c>
      <c r="C17" s="4" t="s">
        <v>339</v>
      </c>
      <c r="D17" s="4" t="s">
        <v>376</v>
      </c>
    </row>
    <row r="18">
      <c r="A18" s="4" t="s">
        <v>377</v>
      </c>
      <c r="B18" s="4" t="s">
        <v>378</v>
      </c>
      <c r="C18" s="4" t="s">
        <v>339</v>
      </c>
      <c r="D18" s="4" t="s">
        <v>379</v>
      </c>
    </row>
    <row r="19">
      <c r="A19" s="4" t="s">
        <v>380</v>
      </c>
      <c r="B19" s="4" t="s">
        <v>381</v>
      </c>
      <c r="C19" s="4" t="s">
        <v>329</v>
      </c>
      <c r="D19" s="4" t="s">
        <v>382</v>
      </c>
    </row>
    <row r="20">
      <c r="A20" s="4" t="s">
        <v>383</v>
      </c>
      <c r="B20" s="4" t="s">
        <v>384</v>
      </c>
      <c r="C20" s="4" t="s">
        <v>329</v>
      </c>
      <c r="D20" s="4" t="s">
        <v>385</v>
      </c>
    </row>
    <row r="21">
      <c r="A21" s="4" t="s">
        <v>386</v>
      </c>
      <c r="B21" s="4" t="s">
        <v>387</v>
      </c>
      <c r="C21" s="4" t="s">
        <v>339</v>
      </c>
      <c r="D21" s="4" t="s">
        <v>388</v>
      </c>
    </row>
    <row r="22">
      <c r="A22" s="4" t="s">
        <v>389</v>
      </c>
      <c r="B22" s="4" t="s">
        <v>390</v>
      </c>
      <c r="C22" s="4" t="s">
        <v>329</v>
      </c>
      <c r="D22" s="4" t="s">
        <v>391</v>
      </c>
    </row>
    <row r="23">
      <c r="A23" s="4" t="s">
        <v>392</v>
      </c>
      <c r="B23" s="4" t="s">
        <v>393</v>
      </c>
      <c r="C23" s="4" t="s">
        <v>325</v>
      </c>
      <c r="D23" s="4" t="s">
        <v>394</v>
      </c>
    </row>
    <row r="24">
      <c r="A24" s="4" t="s">
        <v>395</v>
      </c>
      <c r="B24" s="4" t="s">
        <v>396</v>
      </c>
      <c r="C24" s="4" t="s">
        <v>339</v>
      </c>
      <c r="D24" s="4" t="s">
        <v>397</v>
      </c>
    </row>
    <row r="25">
      <c r="A25" s="4" t="s">
        <v>398</v>
      </c>
      <c r="B25" s="4" t="s">
        <v>399</v>
      </c>
      <c r="C25" s="4" t="s">
        <v>329</v>
      </c>
      <c r="D25" s="4" t="s">
        <v>400</v>
      </c>
    </row>
    <row r="26">
      <c r="A26" s="4" t="s">
        <v>401</v>
      </c>
      <c r="B26" s="4" t="s">
        <v>402</v>
      </c>
      <c r="C26" s="4" t="s">
        <v>339</v>
      </c>
      <c r="D26" s="4" t="s">
        <v>403</v>
      </c>
    </row>
    <row r="27">
      <c r="A27" s="4" t="s">
        <v>404</v>
      </c>
      <c r="B27" s="4" t="s">
        <v>405</v>
      </c>
      <c r="C27" s="4" t="s">
        <v>329</v>
      </c>
      <c r="D27" s="4" t="s">
        <v>406</v>
      </c>
    </row>
    <row r="28">
      <c r="A28" s="4" t="s">
        <v>407</v>
      </c>
      <c r="B28" s="4" t="s">
        <v>408</v>
      </c>
      <c r="C28" s="4" t="s">
        <v>325</v>
      </c>
      <c r="D28" s="4" t="s">
        <v>409</v>
      </c>
    </row>
    <row r="29">
      <c r="A29" s="4" t="s">
        <v>410</v>
      </c>
      <c r="B29" s="4" t="s">
        <v>411</v>
      </c>
      <c r="C29" s="4" t="s">
        <v>339</v>
      </c>
      <c r="D29" s="4" t="s">
        <v>412</v>
      </c>
    </row>
    <row r="30">
      <c r="A30" s="8" t="s">
        <v>413</v>
      </c>
      <c r="B30" s="4" t="s">
        <v>414</v>
      </c>
      <c r="C30" s="4" t="s">
        <v>329</v>
      </c>
      <c r="D30" s="4" t="s">
        <v>415</v>
      </c>
    </row>
    <row r="31">
      <c r="A31" s="4" t="s">
        <v>416</v>
      </c>
      <c r="B31" s="4" t="s">
        <v>417</v>
      </c>
      <c r="C31" s="4" t="s">
        <v>325</v>
      </c>
      <c r="D31" s="4" t="s">
        <v>418</v>
      </c>
    </row>
    <row r="32">
      <c r="A32" s="4" t="s">
        <v>419</v>
      </c>
      <c r="B32" s="4" t="s">
        <v>420</v>
      </c>
      <c r="C32" s="4" t="s">
        <v>329</v>
      </c>
      <c r="D32" s="4" t="s">
        <v>421</v>
      </c>
    </row>
    <row r="33">
      <c r="A33" s="4" t="s">
        <v>422</v>
      </c>
      <c r="B33" s="4" t="s">
        <v>423</v>
      </c>
      <c r="C33" s="4" t="s">
        <v>339</v>
      </c>
      <c r="D33" s="4" t="s">
        <v>424</v>
      </c>
    </row>
    <row r="34">
      <c r="A34" s="4" t="s">
        <v>425</v>
      </c>
      <c r="B34" s="4" t="s">
        <v>426</v>
      </c>
      <c r="C34" s="4" t="s">
        <v>329</v>
      </c>
      <c r="D34" s="4" t="s">
        <v>427</v>
      </c>
    </row>
    <row r="35">
      <c r="A35" s="4" t="s">
        <v>428</v>
      </c>
      <c r="B35" s="4" t="s">
        <v>429</v>
      </c>
      <c r="C35" s="4" t="s">
        <v>329</v>
      </c>
      <c r="D35" s="4" t="s">
        <v>430</v>
      </c>
    </row>
    <row r="36">
      <c r="A36" s="4" t="s">
        <v>431</v>
      </c>
      <c r="B36" s="4" t="s">
        <v>432</v>
      </c>
      <c r="C36" s="4" t="s">
        <v>339</v>
      </c>
      <c r="D36" s="4" t="s">
        <v>433</v>
      </c>
    </row>
    <row r="37">
      <c r="A37" s="4" t="s">
        <v>434</v>
      </c>
      <c r="B37" s="4" t="s">
        <v>435</v>
      </c>
      <c r="C37" s="4" t="s">
        <v>325</v>
      </c>
      <c r="D37" s="4" t="s">
        <v>436</v>
      </c>
    </row>
    <row r="38">
      <c r="A38" s="4" t="s">
        <v>437</v>
      </c>
      <c r="B38" s="4" t="s">
        <v>438</v>
      </c>
      <c r="C38" s="4" t="s">
        <v>339</v>
      </c>
      <c r="D38" s="4" t="s">
        <v>439</v>
      </c>
    </row>
    <row r="39">
      <c r="A39" s="4" t="s">
        <v>440</v>
      </c>
      <c r="B39" s="4" t="s">
        <v>441</v>
      </c>
      <c r="C39" s="4" t="s">
        <v>329</v>
      </c>
      <c r="D39" s="4" t="s">
        <v>442</v>
      </c>
    </row>
    <row r="40">
      <c r="A40" s="4" t="s">
        <v>443</v>
      </c>
      <c r="B40" s="4" t="s">
        <v>444</v>
      </c>
      <c r="C40" s="4" t="s">
        <v>339</v>
      </c>
      <c r="D40" s="4" t="s">
        <v>445</v>
      </c>
    </row>
    <row r="41">
      <c r="A41" s="4" t="s">
        <v>380</v>
      </c>
      <c r="B41" s="4" t="s">
        <v>381</v>
      </c>
      <c r="C41" s="4" t="s">
        <v>329</v>
      </c>
      <c r="D41" s="4" t="s">
        <v>446</v>
      </c>
    </row>
    <row r="42">
      <c r="A42" s="4" t="s">
        <v>447</v>
      </c>
      <c r="B42" s="4" t="s">
        <v>384</v>
      </c>
      <c r="C42" s="4" t="s">
        <v>329</v>
      </c>
      <c r="D42" s="4" t="s">
        <v>448</v>
      </c>
    </row>
    <row r="43">
      <c r="A43" s="4" t="s">
        <v>449</v>
      </c>
      <c r="B43" s="4" t="s">
        <v>348</v>
      </c>
      <c r="C43" s="4" t="s">
        <v>339</v>
      </c>
      <c r="D43" s="4" t="s">
        <v>450</v>
      </c>
    </row>
    <row r="44">
      <c r="A44" s="4" t="s">
        <v>350</v>
      </c>
      <c r="B44" s="4" t="s">
        <v>351</v>
      </c>
      <c r="C44" s="4" t="s">
        <v>339</v>
      </c>
      <c r="D44" s="4" t="s">
        <v>451</v>
      </c>
    </row>
    <row r="45">
      <c r="A45" s="4" t="s">
        <v>337</v>
      </c>
      <c r="B45" s="4" t="s">
        <v>338</v>
      </c>
      <c r="C45" s="4" t="s">
        <v>339</v>
      </c>
      <c r="D45" s="4" t="s">
        <v>452</v>
      </c>
    </row>
    <row r="46">
      <c r="A46" s="4" t="s">
        <v>331</v>
      </c>
      <c r="B46" s="4" t="s">
        <v>332</v>
      </c>
      <c r="C46" s="4" t="s">
        <v>329</v>
      </c>
      <c r="D46" s="4" t="s">
        <v>453</v>
      </c>
    </row>
    <row r="47">
      <c r="A47" s="4" t="s">
        <v>454</v>
      </c>
      <c r="B47" s="4" t="s">
        <v>335</v>
      </c>
      <c r="C47" s="4" t="s">
        <v>329</v>
      </c>
      <c r="D47" s="4" t="s">
        <v>455</v>
      </c>
    </row>
    <row r="48">
      <c r="A48" s="4" t="s">
        <v>323</v>
      </c>
      <c r="B48" s="4" t="s">
        <v>324</v>
      </c>
      <c r="C48" s="4" t="s">
        <v>325</v>
      </c>
      <c r="D48" s="4" t="s">
        <v>456</v>
      </c>
    </row>
    <row r="49">
      <c r="A49" s="4" t="s">
        <v>457</v>
      </c>
      <c r="B49" s="4" t="s">
        <v>363</v>
      </c>
      <c r="C49" s="4" t="s">
        <v>339</v>
      </c>
      <c r="D49" s="4" t="s">
        <v>458</v>
      </c>
    </row>
    <row r="50">
      <c r="A50" s="4" t="s">
        <v>365</v>
      </c>
      <c r="B50" s="4" t="s">
        <v>366</v>
      </c>
      <c r="C50" s="4" t="s">
        <v>325</v>
      </c>
      <c r="D50" s="4" t="s">
        <v>459</v>
      </c>
    </row>
    <row r="51">
      <c r="A51" s="4" t="s">
        <v>368</v>
      </c>
      <c r="B51" s="4" t="s">
        <v>369</v>
      </c>
      <c r="C51" s="4" t="s">
        <v>329</v>
      </c>
      <c r="D51" s="4" t="s">
        <v>460</v>
      </c>
    </row>
    <row r="52">
      <c r="A52" s="4" t="s">
        <v>371</v>
      </c>
      <c r="B52" s="4" t="s">
        <v>372</v>
      </c>
      <c r="C52" s="4" t="s">
        <v>339</v>
      </c>
      <c r="D52" s="4" t="s">
        <v>461</v>
      </c>
    </row>
    <row r="53">
      <c r="A53" s="4" t="s">
        <v>374</v>
      </c>
      <c r="B53" s="4" t="s">
        <v>462</v>
      </c>
      <c r="C53" s="4" t="s">
        <v>325</v>
      </c>
      <c r="D53" s="4" t="s">
        <v>463</v>
      </c>
    </row>
    <row r="54">
      <c r="A54" s="4" t="s">
        <v>377</v>
      </c>
      <c r="B54" s="4" t="s">
        <v>378</v>
      </c>
      <c r="C54" s="4" t="s">
        <v>339</v>
      </c>
      <c r="D54" s="4" t="s">
        <v>379</v>
      </c>
    </row>
    <row r="55">
      <c r="A55" s="4" t="s">
        <v>410</v>
      </c>
      <c r="B55" s="4" t="s">
        <v>411</v>
      </c>
      <c r="C55" s="4" t="s">
        <v>339</v>
      </c>
      <c r="D55" s="4" t="s">
        <v>464</v>
      </c>
    </row>
    <row r="56">
      <c r="A56" s="4" t="s">
        <v>413</v>
      </c>
      <c r="B56" s="4" t="s">
        <v>414</v>
      </c>
      <c r="C56" s="4" t="s">
        <v>329</v>
      </c>
      <c r="D56" s="4" t="s">
        <v>465</v>
      </c>
    </row>
    <row r="57">
      <c r="A57" s="4" t="s">
        <v>389</v>
      </c>
      <c r="B57" s="4" t="s">
        <v>390</v>
      </c>
      <c r="C57" s="4" t="s">
        <v>329</v>
      </c>
      <c r="D57" s="4" t="s">
        <v>466</v>
      </c>
    </row>
    <row r="58">
      <c r="A58" s="4" t="s">
        <v>392</v>
      </c>
      <c r="B58" s="4" t="s">
        <v>393</v>
      </c>
      <c r="C58" s="4" t="s">
        <v>325</v>
      </c>
      <c r="D58" s="4" t="s">
        <v>467</v>
      </c>
    </row>
    <row r="59">
      <c r="A59" s="4" t="s">
        <v>395</v>
      </c>
      <c r="B59" s="4" t="s">
        <v>396</v>
      </c>
      <c r="C59" s="4" t="s">
        <v>339</v>
      </c>
      <c r="D59" s="4" t="s">
        <v>468</v>
      </c>
    </row>
    <row r="60">
      <c r="A60" s="4" t="s">
        <v>398</v>
      </c>
      <c r="B60" s="4" t="s">
        <v>399</v>
      </c>
      <c r="C60" s="4" t="s">
        <v>329</v>
      </c>
      <c r="D60" s="4" t="s">
        <v>469</v>
      </c>
    </row>
    <row r="61">
      <c r="A61" s="5"/>
      <c r="B61" s="5"/>
      <c r="C61" s="5"/>
      <c r="D61" s="5"/>
    </row>
  </sheetData>
  <hyperlinks>
    <hyperlink r:id="rId1" ref="A30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470</v>
      </c>
      <c r="B1" s="14" t="s">
        <v>471</v>
      </c>
      <c r="C1" s="4" t="s">
        <v>329</v>
      </c>
      <c r="D1" s="4" t="s">
        <v>421</v>
      </c>
    </row>
    <row r="2">
      <c r="A2" s="4" t="s">
        <v>472</v>
      </c>
      <c r="B2" s="14" t="s">
        <v>473</v>
      </c>
      <c r="C2" s="4" t="s">
        <v>329</v>
      </c>
      <c r="D2" s="4" t="s">
        <v>474</v>
      </c>
    </row>
    <row r="3">
      <c r="A3" s="4" t="s">
        <v>475</v>
      </c>
      <c r="B3" s="14" t="s">
        <v>476</v>
      </c>
      <c r="C3" s="4" t="s">
        <v>329</v>
      </c>
      <c r="D3" s="4" t="s">
        <v>477</v>
      </c>
    </row>
    <row r="4">
      <c r="A4" s="4" t="s">
        <v>478</v>
      </c>
      <c r="B4" s="14" t="s">
        <v>479</v>
      </c>
      <c r="C4" s="4" t="s">
        <v>339</v>
      </c>
      <c r="D4" s="4" t="s">
        <v>480</v>
      </c>
    </row>
    <row r="5">
      <c r="A5" s="4" t="s">
        <v>481</v>
      </c>
      <c r="B5" s="14" t="s">
        <v>482</v>
      </c>
      <c r="C5" s="4" t="s">
        <v>339</v>
      </c>
      <c r="D5" s="4" t="s">
        <v>483</v>
      </c>
    </row>
    <row r="6">
      <c r="A6" s="4" t="s">
        <v>484</v>
      </c>
      <c r="B6" s="14" t="s">
        <v>485</v>
      </c>
      <c r="C6" s="4" t="s">
        <v>329</v>
      </c>
      <c r="D6" s="4" t="s">
        <v>486</v>
      </c>
    </row>
    <row r="7">
      <c r="A7" s="4" t="s">
        <v>487</v>
      </c>
      <c r="B7" s="14" t="s">
        <v>488</v>
      </c>
      <c r="C7" s="4" t="s">
        <v>339</v>
      </c>
      <c r="D7" s="4" t="s">
        <v>452</v>
      </c>
    </row>
    <row r="8">
      <c r="A8" s="4" t="s">
        <v>489</v>
      </c>
      <c r="B8" s="14" t="s">
        <v>490</v>
      </c>
      <c r="C8" s="4" t="s">
        <v>329</v>
      </c>
      <c r="D8" s="4" t="s">
        <v>491</v>
      </c>
    </row>
    <row r="9">
      <c r="A9" s="4" t="s">
        <v>492</v>
      </c>
      <c r="B9" s="14" t="s">
        <v>493</v>
      </c>
      <c r="C9" s="4" t="s">
        <v>329</v>
      </c>
      <c r="D9" s="4" t="s">
        <v>494</v>
      </c>
    </row>
    <row r="10">
      <c r="A10" s="4" t="s">
        <v>495</v>
      </c>
      <c r="B10" s="14" t="s">
        <v>496</v>
      </c>
      <c r="C10" s="4" t="s">
        <v>329</v>
      </c>
      <c r="D10" s="4" t="s">
        <v>497</v>
      </c>
    </row>
    <row r="11">
      <c r="A11" s="4" t="s">
        <v>498</v>
      </c>
      <c r="B11" s="14" t="s">
        <v>499</v>
      </c>
      <c r="C11" s="4" t="s">
        <v>339</v>
      </c>
      <c r="D11" s="4" t="s">
        <v>500</v>
      </c>
    </row>
    <row r="12">
      <c r="A12" s="4" t="s">
        <v>501</v>
      </c>
      <c r="B12" s="14" t="s">
        <v>502</v>
      </c>
      <c r="C12" s="4" t="s">
        <v>325</v>
      </c>
      <c r="D12" s="4" t="s">
        <v>503</v>
      </c>
    </row>
    <row r="13">
      <c r="A13" s="4" t="s">
        <v>504</v>
      </c>
      <c r="B13" s="14" t="s">
        <v>505</v>
      </c>
      <c r="C13" s="4" t="s">
        <v>329</v>
      </c>
      <c r="D13" s="4" t="s">
        <v>506</v>
      </c>
    </row>
    <row r="14">
      <c r="A14" s="4" t="s">
        <v>507</v>
      </c>
      <c r="B14" s="14" t="s">
        <v>508</v>
      </c>
      <c r="C14" s="4" t="s">
        <v>329</v>
      </c>
      <c r="D14" s="4" t="s">
        <v>509</v>
      </c>
    </row>
    <row r="15">
      <c r="A15" s="4" t="s">
        <v>510</v>
      </c>
      <c r="B15" s="14" t="s">
        <v>511</v>
      </c>
      <c r="C15" s="4" t="s">
        <v>329</v>
      </c>
      <c r="D15" s="4" t="s">
        <v>512</v>
      </c>
    </row>
    <row r="16">
      <c r="A16" s="4" t="s">
        <v>513</v>
      </c>
      <c r="B16" s="14" t="s">
        <v>514</v>
      </c>
      <c r="C16" s="4" t="s">
        <v>339</v>
      </c>
      <c r="D16" s="4" t="s">
        <v>515</v>
      </c>
    </row>
    <row r="17">
      <c r="A17" s="4" t="s">
        <v>516</v>
      </c>
      <c r="B17" s="14" t="s">
        <v>517</v>
      </c>
      <c r="C17" s="4" t="s">
        <v>325</v>
      </c>
      <c r="D17" s="4" t="s">
        <v>518</v>
      </c>
    </row>
    <row r="18">
      <c r="A18" s="4" t="s">
        <v>519</v>
      </c>
      <c r="B18" s="14" t="s">
        <v>520</v>
      </c>
      <c r="C18" s="4" t="s">
        <v>339</v>
      </c>
      <c r="D18" s="4" t="s">
        <v>464</v>
      </c>
    </row>
    <row r="19">
      <c r="A19" s="4" t="s">
        <v>521</v>
      </c>
      <c r="B19" s="14" t="s">
        <v>522</v>
      </c>
      <c r="C19" s="4" t="s">
        <v>329</v>
      </c>
      <c r="D19" s="4" t="s">
        <v>469</v>
      </c>
    </row>
    <row r="20">
      <c r="A20" s="4" t="s">
        <v>523</v>
      </c>
      <c r="B20" s="14" t="s">
        <v>524</v>
      </c>
      <c r="C20" s="4" t="s">
        <v>339</v>
      </c>
      <c r="D20" s="4" t="s">
        <v>525</v>
      </c>
    </row>
    <row r="21">
      <c r="A21" s="4" t="s">
        <v>526</v>
      </c>
      <c r="B21" s="14" t="s">
        <v>527</v>
      </c>
      <c r="C21" s="4" t="s">
        <v>329</v>
      </c>
      <c r="D21" s="4" t="s">
        <v>460</v>
      </c>
    </row>
    <row r="22">
      <c r="A22" s="4" t="s">
        <v>528</v>
      </c>
      <c r="B22" s="14" t="s">
        <v>529</v>
      </c>
      <c r="C22" s="4" t="s">
        <v>339</v>
      </c>
      <c r="D22" s="4" t="s">
        <v>530</v>
      </c>
    </row>
    <row r="23">
      <c r="A23" s="4" t="s">
        <v>404</v>
      </c>
      <c r="B23" s="14" t="s">
        <v>531</v>
      </c>
      <c r="C23" s="4" t="s">
        <v>329</v>
      </c>
      <c r="D23" s="4" t="s">
        <v>477</v>
      </c>
    </row>
    <row r="24">
      <c r="A24" s="4" t="s">
        <v>532</v>
      </c>
      <c r="B24" s="14" t="s">
        <v>533</v>
      </c>
      <c r="C24" s="4" t="s">
        <v>325</v>
      </c>
      <c r="D24" s="4" t="s">
        <v>534</v>
      </c>
    </row>
    <row r="25">
      <c r="A25" s="4" t="s">
        <v>410</v>
      </c>
      <c r="B25" s="14" t="s">
        <v>411</v>
      </c>
      <c r="C25" s="4" t="s">
        <v>339</v>
      </c>
      <c r="D25" s="4" t="s">
        <v>535</v>
      </c>
    </row>
    <row r="26">
      <c r="A26" s="4" t="s">
        <v>413</v>
      </c>
      <c r="B26" s="14" t="s">
        <v>414</v>
      </c>
      <c r="C26" s="4" t="s">
        <v>329</v>
      </c>
      <c r="D26" s="4" t="s">
        <v>465</v>
      </c>
    </row>
    <row r="27">
      <c r="A27" s="4" t="s">
        <v>389</v>
      </c>
      <c r="B27" s="14" t="s">
        <v>390</v>
      </c>
      <c r="C27" s="4" t="s">
        <v>329</v>
      </c>
      <c r="D27" s="4" t="s">
        <v>466</v>
      </c>
    </row>
    <row r="28">
      <c r="A28" s="4" t="s">
        <v>392</v>
      </c>
      <c r="B28" s="14" t="s">
        <v>393</v>
      </c>
      <c r="C28" s="4" t="s">
        <v>325</v>
      </c>
      <c r="D28" s="4" t="s">
        <v>467</v>
      </c>
    </row>
    <row r="29">
      <c r="A29" s="4" t="s">
        <v>395</v>
      </c>
      <c r="B29" s="14" t="s">
        <v>396</v>
      </c>
      <c r="C29" s="4" t="s">
        <v>339</v>
      </c>
      <c r="D29" s="4" t="s">
        <v>468</v>
      </c>
    </row>
    <row r="30">
      <c r="A30" s="8" t="s">
        <v>398</v>
      </c>
      <c r="B30" s="14" t="s">
        <v>399</v>
      </c>
      <c r="C30" s="4" t="s">
        <v>329</v>
      </c>
      <c r="D30" s="4" t="s">
        <v>469</v>
      </c>
    </row>
    <row r="31">
      <c r="A31" s="4" t="s">
        <v>536</v>
      </c>
      <c r="B31" s="14" t="s">
        <v>537</v>
      </c>
      <c r="C31" s="4" t="s">
        <v>329</v>
      </c>
      <c r="D31" s="4" t="s">
        <v>421</v>
      </c>
    </row>
    <row r="32">
      <c r="A32" s="4" t="s">
        <v>538</v>
      </c>
      <c r="B32" s="14" t="s">
        <v>539</v>
      </c>
      <c r="C32" s="4" t="s">
        <v>329</v>
      </c>
      <c r="D32" s="4" t="s">
        <v>540</v>
      </c>
    </row>
    <row r="33">
      <c r="A33" s="4" t="s">
        <v>541</v>
      </c>
      <c r="B33" s="14" t="s">
        <v>542</v>
      </c>
      <c r="C33" s="4" t="s">
        <v>329</v>
      </c>
      <c r="D33" s="4" t="s">
        <v>477</v>
      </c>
    </row>
    <row r="34">
      <c r="A34" s="4" t="s">
        <v>543</v>
      </c>
      <c r="B34" s="14" t="s">
        <v>544</v>
      </c>
      <c r="C34" s="4" t="s">
        <v>329</v>
      </c>
      <c r="D34" s="4" t="s">
        <v>545</v>
      </c>
    </row>
    <row r="35">
      <c r="A35" s="4" t="s">
        <v>546</v>
      </c>
      <c r="B35" s="14" t="s">
        <v>547</v>
      </c>
      <c r="C35" s="4" t="s">
        <v>339</v>
      </c>
      <c r="D35" s="4" t="s">
        <v>548</v>
      </c>
    </row>
    <row r="36">
      <c r="A36" s="4" t="s">
        <v>549</v>
      </c>
      <c r="B36" s="14" t="s">
        <v>550</v>
      </c>
      <c r="C36" s="4" t="s">
        <v>339</v>
      </c>
      <c r="D36" s="4" t="s">
        <v>551</v>
      </c>
    </row>
    <row r="37">
      <c r="A37" s="4" t="s">
        <v>552</v>
      </c>
      <c r="B37" s="14" t="s">
        <v>553</v>
      </c>
      <c r="C37" s="4" t="s">
        <v>329</v>
      </c>
      <c r="D37" s="4" t="s">
        <v>554</v>
      </c>
    </row>
    <row r="38">
      <c r="A38" s="4" t="s">
        <v>555</v>
      </c>
      <c r="B38" s="14" t="s">
        <v>556</v>
      </c>
      <c r="C38" s="4" t="s">
        <v>329</v>
      </c>
      <c r="D38" s="4" t="s">
        <v>486</v>
      </c>
    </row>
    <row r="39">
      <c r="A39" s="4" t="s">
        <v>557</v>
      </c>
      <c r="B39" s="14" t="s">
        <v>558</v>
      </c>
      <c r="C39" s="4" t="s">
        <v>339</v>
      </c>
      <c r="D39" s="4" t="s">
        <v>464</v>
      </c>
    </row>
    <row r="40">
      <c r="A40" s="4" t="s">
        <v>559</v>
      </c>
      <c r="B40" s="14" t="s">
        <v>560</v>
      </c>
      <c r="C40" s="4" t="s">
        <v>339</v>
      </c>
      <c r="D40" s="4" t="s">
        <v>561</v>
      </c>
    </row>
    <row r="41">
      <c r="A41" s="4" t="s">
        <v>562</v>
      </c>
      <c r="B41" s="14" t="s">
        <v>563</v>
      </c>
      <c r="C41" s="4" t="s">
        <v>329</v>
      </c>
      <c r="D41" s="4" t="s">
        <v>460</v>
      </c>
    </row>
    <row r="42">
      <c r="A42" s="4" t="s">
        <v>564</v>
      </c>
      <c r="B42" s="14" t="s">
        <v>565</v>
      </c>
      <c r="C42" s="4" t="s">
        <v>339</v>
      </c>
      <c r="D42" s="4" t="s">
        <v>525</v>
      </c>
    </row>
    <row r="43">
      <c r="A43" s="4" t="s">
        <v>566</v>
      </c>
      <c r="B43" s="14" t="s">
        <v>567</v>
      </c>
      <c r="C43" s="4" t="s">
        <v>329</v>
      </c>
      <c r="D43" s="4" t="s">
        <v>568</v>
      </c>
    </row>
    <row r="44">
      <c r="A44" s="4" t="s">
        <v>569</v>
      </c>
      <c r="B44" s="14" t="s">
        <v>570</v>
      </c>
      <c r="C44" s="4" t="s">
        <v>329</v>
      </c>
      <c r="D44" s="4" t="s">
        <v>446</v>
      </c>
    </row>
    <row r="45">
      <c r="A45" s="4" t="s">
        <v>571</v>
      </c>
      <c r="B45" s="14" t="s">
        <v>572</v>
      </c>
      <c r="C45" s="4" t="s">
        <v>329</v>
      </c>
      <c r="D45" s="4" t="s">
        <v>573</v>
      </c>
    </row>
    <row r="46">
      <c r="A46" s="4" t="s">
        <v>574</v>
      </c>
      <c r="B46" s="14" t="s">
        <v>575</v>
      </c>
      <c r="C46" s="4" t="s">
        <v>339</v>
      </c>
      <c r="D46" s="4" t="s">
        <v>433</v>
      </c>
    </row>
    <row r="47">
      <c r="A47" s="4" t="s">
        <v>576</v>
      </c>
      <c r="B47" s="14" t="s">
        <v>577</v>
      </c>
      <c r="C47" s="4" t="s">
        <v>339</v>
      </c>
      <c r="D47" s="4" t="s">
        <v>445</v>
      </c>
    </row>
    <row r="48">
      <c r="A48" s="4" t="s">
        <v>578</v>
      </c>
      <c r="B48" s="14" t="s">
        <v>579</v>
      </c>
      <c r="C48" s="4" t="s">
        <v>329</v>
      </c>
      <c r="D48" s="4" t="s">
        <v>580</v>
      </c>
    </row>
    <row r="49">
      <c r="A49" s="4" t="s">
        <v>410</v>
      </c>
      <c r="B49" s="14" t="s">
        <v>527</v>
      </c>
      <c r="C49" s="4" t="s">
        <v>329</v>
      </c>
      <c r="D49" s="4" t="s">
        <v>460</v>
      </c>
    </row>
    <row r="50">
      <c r="A50" s="4" t="s">
        <v>528</v>
      </c>
      <c r="B50" s="14" t="s">
        <v>529</v>
      </c>
      <c r="C50" s="4" t="s">
        <v>339</v>
      </c>
      <c r="D50" s="4" t="s">
        <v>530</v>
      </c>
    </row>
    <row r="51">
      <c r="A51" s="4" t="s">
        <v>404</v>
      </c>
      <c r="B51" s="14" t="s">
        <v>531</v>
      </c>
      <c r="C51" s="4" t="s">
        <v>329</v>
      </c>
      <c r="D51" s="4" t="s">
        <v>477</v>
      </c>
    </row>
    <row r="52">
      <c r="A52" s="4" t="s">
        <v>532</v>
      </c>
      <c r="B52" s="14" t="s">
        <v>533</v>
      </c>
      <c r="C52" s="4" t="s">
        <v>325</v>
      </c>
      <c r="D52" s="4" t="s">
        <v>534</v>
      </c>
    </row>
    <row r="53">
      <c r="A53" s="4" t="s">
        <v>410</v>
      </c>
      <c r="B53" s="14" t="s">
        <v>411</v>
      </c>
      <c r="C53" s="4" t="s">
        <v>339</v>
      </c>
      <c r="D53" s="4" t="s">
        <v>535</v>
      </c>
    </row>
    <row r="54">
      <c r="A54" s="4" t="s">
        <v>413</v>
      </c>
      <c r="B54" s="14" t="s">
        <v>414</v>
      </c>
      <c r="C54" s="4" t="s">
        <v>329</v>
      </c>
      <c r="D54" s="4" t="s">
        <v>465</v>
      </c>
    </row>
    <row r="55">
      <c r="A55" s="4" t="s">
        <v>389</v>
      </c>
      <c r="B55" s="14" t="s">
        <v>390</v>
      </c>
      <c r="C55" s="4" t="s">
        <v>329</v>
      </c>
      <c r="D55" s="4" t="s">
        <v>466</v>
      </c>
    </row>
    <row r="56">
      <c r="A56" s="4" t="s">
        <v>519</v>
      </c>
      <c r="B56" s="14" t="s">
        <v>520</v>
      </c>
      <c r="C56" s="4" t="s">
        <v>339</v>
      </c>
      <c r="D56" s="4" t="s">
        <v>464</v>
      </c>
    </row>
    <row r="57">
      <c r="A57" s="4" t="s">
        <v>521</v>
      </c>
      <c r="B57" s="14" t="s">
        <v>522</v>
      </c>
      <c r="C57" s="4" t="s">
        <v>329</v>
      </c>
      <c r="D57" s="4" t="s">
        <v>469</v>
      </c>
    </row>
    <row r="58">
      <c r="A58" s="4" t="s">
        <v>523</v>
      </c>
      <c r="B58" s="14" t="s">
        <v>524</v>
      </c>
      <c r="C58" s="4" t="s">
        <v>339</v>
      </c>
      <c r="D58" s="4" t="s">
        <v>525</v>
      </c>
    </row>
    <row r="59">
      <c r="A59" s="4" t="s">
        <v>526</v>
      </c>
      <c r="B59" s="14" t="s">
        <v>527</v>
      </c>
      <c r="C59" s="4" t="s">
        <v>329</v>
      </c>
      <c r="D59" s="4" t="s">
        <v>460</v>
      </c>
    </row>
    <row r="60">
      <c r="A60" s="4" t="s">
        <v>528</v>
      </c>
      <c r="B60" s="14" t="s">
        <v>529</v>
      </c>
      <c r="C60" s="4" t="s">
        <v>339</v>
      </c>
      <c r="D60" s="4" t="s">
        <v>530</v>
      </c>
    </row>
    <row r="61">
      <c r="A61" s="5"/>
      <c r="B61" s="5"/>
      <c r="C61" s="5"/>
      <c r="D61" s="5"/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A30"/>
    <hyperlink r:id="rId31" ref="B30"/>
    <hyperlink r:id="rId32" ref="B31"/>
    <hyperlink r:id="rId33" ref="B32"/>
    <hyperlink r:id="rId34" ref="B33"/>
    <hyperlink r:id="rId35" ref="B34"/>
    <hyperlink r:id="rId36" ref="B35"/>
    <hyperlink r:id="rId37" ref="B36"/>
    <hyperlink r:id="rId38" ref="B37"/>
    <hyperlink r:id="rId39" ref="B38"/>
    <hyperlink r:id="rId40" ref="B39"/>
    <hyperlink r:id="rId41" ref="B40"/>
    <hyperlink r:id="rId42" ref="B41"/>
    <hyperlink r:id="rId43" ref="B42"/>
    <hyperlink r:id="rId44" ref="B43"/>
    <hyperlink r:id="rId45" ref="B44"/>
    <hyperlink r:id="rId46" ref="B45"/>
    <hyperlink r:id="rId47" ref="B46"/>
    <hyperlink r:id="rId48" ref="B47"/>
    <hyperlink r:id="rId49" ref="B48"/>
    <hyperlink r:id="rId50" ref="B49"/>
    <hyperlink r:id="rId51" ref="B50"/>
    <hyperlink r:id="rId52" ref="B51"/>
    <hyperlink r:id="rId53" ref="B52"/>
    <hyperlink r:id="rId54" ref="B53"/>
    <hyperlink r:id="rId55" ref="B54"/>
    <hyperlink r:id="rId56" ref="B55"/>
    <hyperlink r:id="rId57" ref="B56"/>
    <hyperlink r:id="rId58" ref="B57"/>
    <hyperlink r:id="rId59" ref="B58"/>
    <hyperlink r:id="rId60" ref="B59"/>
    <hyperlink r:id="rId61" ref="B60"/>
  </hyperlinks>
  <drawing r:id="rId6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581</v>
      </c>
      <c r="B1" s="4" t="s">
        <v>582</v>
      </c>
      <c r="C1" s="4" t="s">
        <v>329</v>
      </c>
      <c r="D1" s="4" t="s">
        <v>583</v>
      </c>
    </row>
    <row r="2">
      <c r="A2" s="4" t="s">
        <v>584</v>
      </c>
      <c r="B2" s="4" t="s">
        <v>585</v>
      </c>
      <c r="C2" s="4" t="s">
        <v>329</v>
      </c>
      <c r="D2" s="4" t="s">
        <v>586</v>
      </c>
    </row>
    <row r="3">
      <c r="A3" s="4" t="s">
        <v>587</v>
      </c>
      <c r="B3" s="4" t="s">
        <v>588</v>
      </c>
      <c r="C3" s="4" t="s">
        <v>329</v>
      </c>
      <c r="D3" s="4" t="s">
        <v>586</v>
      </c>
    </row>
    <row r="4">
      <c r="A4" s="4" t="s">
        <v>589</v>
      </c>
      <c r="B4" s="4" t="s">
        <v>590</v>
      </c>
      <c r="C4" s="4" t="s">
        <v>339</v>
      </c>
      <c r="D4" s="4" t="s">
        <v>591</v>
      </c>
    </row>
    <row r="5">
      <c r="A5" s="4" t="s">
        <v>592</v>
      </c>
      <c r="B5" s="4" t="s">
        <v>593</v>
      </c>
      <c r="C5" s="4" t="s">
        <v>329</v>
      </c>
      <c r="D5" s="4" t="s">
        <v>594</v>
      </c>
    </row>
    <row r="6">
      <c r="A6" s="4" t="s">
        <v>595</v>
      </c>
      <c r="B6" s="4" t="s">
        <v>596</v>
      </c>
      <c r="C6" s="4" t="s">
        <v>329</v>
      </c>
      <c r="D6" s="4" t="s">
        <v>597</v>
      </c>
    </row>
    <row r="7">
      <c r="A7" s="4" t="s">
        <v>598</v>
      </c>
      <c r="B7" s="4" t="s">
        <v>599</v>
      </c>
      <c r="C7" s="4" t="s">
        <v>329</v>
      </c>
      <c r="D7" s="4" t="s">
        <v>600</v>
      </c>
    </row>
    <row r="8">
      <c r="A8" s="4" t="s">
        <v>601</v>
      </c>
      <c r="B8" s="4" t="s">
        <v>602</v>
      </c>
      <c r="C8" s="4" t="s">
        <v>329</v>
      </c>
      <c r="D8" s="4" t="s">
        <v>603</v>
      </c>
    </row>
    <row r="9">
      <c r="A9" s="4" t="s">
        <v>604</v>
      </c>
      <c r="B9" s="4" t="s">
        <v>605</v>
      </c>
      <c r="C9" s="4" t="s">
        <v>339</v>
      </c>
      <c r="D9" s="4" t="s">
        <v>606</v>
      </c>
    </row>
    <row r="10">
      <c r="A10" s="4" t="s">
        <v>607</v>
      </c>
      <c r="B10" s="4" t="s">
        <v>608</v>
      </c>
      <c r="C10" s="4" t="s">
        <v>339</v>
      </c>
      <c r="D10" s="4" t="s">
        <v>609</v>
      </c>
    </row>
    <row r="11">
      <c r="A11" s="4" t="s">
        <v>610</v>
      </c>
      <c r="B11" s="4" t="s">
        <v>611</v>
      </c>
      <c r="C11" s="4" t="s">
        <v>339</v>
      </c>
      <c r="D11" s="4" t="s">
        <v>612</v>
      </c>
    </row>
    <row r="12">
      <c r="A12" s="4" t="s">
        <v>613</v>
      </c>
      <c r="B12" s="4" t="s">
        <v>490</v>
      </c>
      <c r="C12" s="4" t="s">
        <v>329</v>
      </c>
      <c r="D12" s="4" t="s">
        <v>614</v>
      </c>
    </row>
    <row r="13">
      <c r="A13" s="4" t="s">
        <v>615</v>
      </c>
      <c r="B13" s="4" t="s">
        <v>616</v>
      </c>
      <c r="C13" s="4" t="s">
        <v>339</v>
      </c>
      <c r="D13" s="4" t="s">
        <v>617</v>
      </c>
    </row>
    <row r="14">
      <c r="A14" s="4" t="s">
        <v>618</v>
      </c>
      <c r="B14" s="4" t="s">
        <v>619</v>
      </c>
      <c r="C14" s="4" t="s">
        <v>339</v>
      </c>
      <c r="D14" s="4" t="s">
        <v>620</v>
      </c>
    </row>
    <row r="15">
      <c r="A15" s="4" t="s">
        <v>621</v>
      </c>
      <c r="B15" s="4" t="s">
        <v>622</v>
      </c>
      <c r="C15" s="4" t="s">
        <v>329</v>
      </c>
      <c r="D15" s="4" t="s">
        <v>623</v>
      </c>
    </row>
    <row r="16">
      <c r="A16" s="4" t="s">
        <v>624</v>
      </c>
      <c r="B16" s="4" t="s">
        <v>625</v>
      </c>
      <c r="C16" s="4" t="s">
        <v>329</v>
      </c>
      <c r="D16" s="4" t="s">
        <v>626</v>
      </c>
    </row>
    <row r="17">
      <c r="A17" s="4" t="s">
        <v>627</v>
      </c>
      <c r="B17" s="4" t="s">
        <v>628</v>
      </c>
      <c r="C17" s="4" t="s">
        <v>339</v>
      </c>
      <c r="D17" s="4" t="s">
        <v>629</v>
      </c>
    </row>
    <row r="18">
      <c r="A18" s="4" t="s">
        <v>630</v>
      </c>
      <c r="B18" s="4" t="s">
        <v>631</v>
      </c>
      <c r="C18" s="4" t="s">
        <v>329</v>
      </c>
      <c r="D18" s="4" t="s">
        <v>632</v>
      </c>
    </row>
    <row r="19">
      <c r="A19" s="4" t="s">
        <v>633</v>
      </c>
      <c r="B19" s="4" t="s">
        <v>634</v>
      </c>
      <c r="C19" s="4" t="s">
        <v>329</v>
      </c>
      <c r="D19" s="4" t="s">
        <v>603</v>
      </c>
    </row>
    <row r="20">
      <c r="A20" s="4" t="s">
        <v>635</v>
      </c>
      <c r="B20" s="4" t="s">
        <v>636</v>
      </c>
      <c r="C20" s="4" t="s">
        <v>339</v>
      </c>
      <c r="D20" s="4" t="s">
        <v>591</v>
      </c>
    </row>
    <row r="21">
      <c r="A21" s="4" t="s">
        <v>637</v>
      </c>
      <c r="B21" s="4" t="s">
        <v>638</v>
      </c>
      <c r="C21" s="4" t="s">
        <v>329</v>
      </c>
      <c r="D21" s="4" t="s">
        <v>639</v>
      </c>
    </row>
    <row r="22">
      <c r="A22" s="4" t="s">
        <v>640</v>
      </c>
      <c r="B22" s="4" t="s">
        <v>641</v>
      </c>
      <c r="C22" s="4" t="s">
        <v>329</v>
      </c>
      <c r="D22" s="4" t="s">
        <v>642</v>
      </c>
    </row>
    <row r="23">
      <c r="A23" s="4" t="s">
        <v>643</v>
      </c>
      <c r="B23" s="4" t="s">
        <v>644</v>
      </c>
      <c r="C23" s="4" t="s">
        <v>325</v>
      </c>
      <c r="D23" s="4" t="s">
        <v>645</v>
      </c>
    </row>
    <row r="24">
      <c r="A24" s="4" t="s">
        <v>646</v>
      </c>
      <c r="B24" s="4" t="s">
        <v>647</v>
      </c>
      <c r="C24" s="4" t="s">
        <v>339</v>
      </c>
      <c r="D24" s="4" t="s">
        <v>620</v>
      </c>
    </row>
    <row r="25">
      <c r="A25" s="4" t="s">
        <v>648</v>
      </c>
      <c r="B25" s="4" t="s">
        <v>649</v>
      </c>
      <c r="C25" s="4" t="s">
        <v>329</v>
      </c>
      <c r="D25" s="4" t="s">
        <v>594</v>
      </c>
    </row>
    <row r="26">
      <c r="A26" s="4" t="s">
        <v>650</v>
      </c>
      <c r="B26" s="4" t="s">
        <v>651</v>
      </c>
      <c r="C26" s="4" t="s">
        <v>329</v>
      </c>
      <c r="D26" s="4" t="s">
        <v>652</v>
      </c>
    </row>
    <row r="27">
      <c r="A27" s="4" t="s">
        <v>653</v>
      </c>
      <c r="B27" s="4" t="s">
        <v>654</v>
      </c>
      <c r="C27" s="4" t="s">
        <v>329</v>
      </c>
      <c r="D27" s="4" t="s">
        <v>655</v>
      </c>
    </row>
    <row r="28">
      <c r="A28" s="4" t="s">
        <v>656</v>
      </c>
      <c r="B28" s="4" t="s">
        <v>657</v>
      </c>
      <c r="C28" s="4" t="s">
        <v>339</v>
      </c>
      <c r="D28" s="4" t="s">
        <v>658</v>
      </c>
    </row>
    <row r="29">
      <c r="A29" s="4" t="s">
        <v>659</v>
      </c>
      <c r="B29" s="4" t="s">
        <v>660</v>
      </c>
      <c r="C29" s="4" t="s">
        <v>329</v>
      </c>
      <c r="D29" s="4" t="s">
        <v>661</v>
      </c>
    </row>
    <row r="30">
      <c r="A30" s="4" t="s">
        <v>662</v>
      </c>
      <c r="B30" s="4" t="s">
        <v>663</v>
      </c>
      <c r="C30" s="4" t="s">
        <v>329</v>
      </c>
      <c r="D30" s="4" t="s">
        <v>603</v>
      </c>
    </row>
    <row r="31">
      <c r="A31" s="4" t="s">
        <v>607</v>
      </c>
      <c r="B31" s="4" t="s">
        <v>608</v>
      </c>
      <c r="C31" s="4" t="s">
        <v>339</v>
      </c>
      <c r="D31" s="4" t="s">
        <v>664</v>
      </c>
    </row>
    <row r="32">
      <c r="A32" s="4" t="s">
        <v>604</v>
      </c>
      <c r="B32" s="4" t="s">
        <v>605</v>
      </c>
      <c r="C32" s="4" t="s">
        <v>339</v>
      </c>
      <c r="D32" s="4" t="s">
        <v>665</v>
      </c>
    </row>
    <row r="33">
      <c r="A33" s="4" t="s">
        <v>610</v>
      </c>
      <c r="B33" s="4" t="s">
        <v>611</v>
      </c>
      <c r="C33" s="4" t="s">
        <v>339</v>
      </c>
      <c r="D33" s="4" t="s">
        <v>666</v>
      </c>
    </row>
    <row r="34">
      <c r="A34" s="4" t="s">
        <v>615</v>
      </c>
      <c r="B34" s="4" t="s">
        <v>616</v>
      </c>
      <c r="C34" s="4" t="s">
        <v>339</v>
      </c>
      <c r="D34" s="4" t="s">
        <v>667</v>
      </c>
    </row>
    <row r="35">
      <c r="A35" s="4" t="s">
        <v>618</v>
      </c>
      <c r="B35" s="4" t="s">
        <v>619</v>
      </c>
      <c r="C35" s="4" t="s">
        <v>339</v>
      </c>
      <c r="D35" s="4" t="s">
        <v>668</v>
      </c>
    </row>
    <row r="36">
      <c r="A36" s="4" t="s">
        <v>669</v>
      </c>
      <c r="B36" s="4" t="s">
        <v>670</v>
      </c>
      <c r="C36" s="4" t="s">
        <v>339</v>
      </c>
      <c r="D36" s="4" t="s">
        <v>671</v>
      </c>
    </row>
    <row r="37">
      <c r="A37" s="4" t="s">
        <v>627</v>
      </c>
      <c r="B37" s="4" t="s">
        <v>628</v>
      </c>
      <c r="C37" s="4" t="s">
        <v>339</v>
      </c>
      <c r="D37" s="4" t="s">
        <v>672</v>
      </c>
    </row>
    <row r="38">
      <c r="A38" s="4" t="s">
        <v>635</v>
      </c>
      <c r="B38" s="4" t="s">
        <v>636</v>
      </c>
      <c r="C38" s="4" t="s">
        <v>339</v>
      </c>
      <c r="D38" s="4" t="s">
        <v>673</v>
      </c>
    </row>
    <row r="39">
      <c r="A39" s="4" t="s">
        <v>646</v>
      </c>
      <c r="B39" s="4" t="s">
        <v>647</v>
      </c>
      <c r="C39" s="4" t="s">
        <v>339</v>
      </c>
      <c r="D39" s="4" t="s">
        <v>674</v>
      </c>
    </row>
    <row r="40">
      <c r="A40" s="4" t="s">
        <v>656</v>
      </c>
      <c r="B40" s="4" t="s">
        <v>657</v>
      </c>
      <c r="C40" s="4" t="s">
        <v>339</v>
      </c>
      <c r="D40" s="4" t="s">
        <v>675</v>
      </c>
    </row>
    <row r="41">
      <c r="A41" s="4" t="s">
        <v>676</v>
      </c>
      <c r="B41" s="4" t="s">
        <v>677</v>
      </c>
      <c r="C41" s="4" t="s">
        <v>339</v>
      </c>
      <c r="D41" s="4" t="s">
        <v>678</v>
      </c>
    </row>
    <row r="42">
      <c r="A42" s="4" t="s">
        <v>589</v>
      </c>
      <c r="B42" s="4" t="s">
        <v>590</v>
      </c>
      <c r="C42" s="4" t="s">
        <v>339</v>
      </c>
      <c r="D42" s="4" t="s">
        <v>679</v>
      </c>
    </row>
    <row r="43">
      <c r="A43" s="4" t="s">
        <v>680</v>
      </c>
      <c r="B43" s="4" t="s">
        <v>681</v>
      </c>
      <c r="C43" s="4" t="s">
        <v>339</v>
      </c>
      <c r="D43" s="4" t="s">
        <v>682</v>
      </c>
    </row>
    <row r="44">
      <c r="A44" s="4" t="s">
        <v>683</v>
      </c>
      <c r="B44" s="4" t="s">
        <v>684</v>
      </c>
      <c r="C44" s="4" t="s">
        <v>339</v>
      </c>
      <c r="D44" s="4" t="s">
        <v>685</v>
      </c>
    </row>
    <row r="45">
      <c r="A45" s="4" t="s">
        <v>686</v>
      </c>
      <c r="B45" s="4" t="s">
        <v>687</v>
      </c>
      <c r="C45" s="4" t="s">
        <v>339</v>
      </c>
      <c r="D45" s="4" t="s">
        <v>688</v>
      </c>
    </row>
    <row r="46">
      <c r="A46" s="4" t="s">
        <v>581</v>
      </c>
      <c r="B46" s="4" t="s">
        <v>582</v>
      </c>
      <c r="C46" s="4" t="s">
        <v>329</v>
      </c>
      <c r="D46" s="4" t="s">
        <v>689</v>
      </c>
    </row>
    <row r="47">
      <c r="A47" s="4" t="s">
        <v>584</v>
      </c>
      <c r="B47" s="4" t="s">
        <v>585</v>
      </c>
      <c r="C47" s="4" t="s">
        <v>329</v>
      </c>
      <c r="D47" s="4" t="s">
        <v>690</v>
      </c>
    </row>
    <row r="48">
      <c r="A48" s="4" t="s">
        <v>587</v>
      </c>
      <c r="B48" s="4" t="s">
        <v>588</v>
      </c>
      <c r="C48" s="4" t="s">
        <v>329</v>
      </c>
      <c r="D48" s="4" t="s">
        <v>691</v>
      </c>
    </row>
    <row r="49">
      <c r="A49" s="4" t="s">
        <v>613</v>
      </c>
      <c r="B49" s="4" t="s">
        <v>490</v>
      </c>
      <c r="C49" s="4" t="s">
        <v>329</v>
      </c>
      <c r="D49" s="4" t="s">
        <v>692</v>
      </c>
    </row>
    <row r="50">
      <c r="A50" s="4" t="s">
        <v>621</v>
      </c>
      <c r="B50" s="4" t="s">
        <v>622</v>
      </c>
      <c r="C50" s="4" t="s">
        <v>329</v>
      </c>
      <c r="D50" s="4" t="s">
        <v>693</v>
      </c>
    </row>
    <row r="51">
      <c r="A51" s="4" t="s">
        <v>624</v>
      </c>
      <c r="B51" s="4" t="s">
        <v>625</v>
      </c>
      <c r="C51" s="4" t="s">
        <v>329</v>
      </c>
      <c r="D51" s="4" t="s">
        <v>694</v>
      </c>
    </row>
    <row r="52">
      <c r="A52" s="4" t="s">
        <v>630</v>
      </c>
      <c r="B52" s="4" t="s">
        <v>631</v>
      </c>
      <c r="C52" s="4" t="s">
        <v>329</v>
      </c>
      <c r="D52" s="4" t="s">
        <v>695</v>
      </c>
    </row>
    <row r="53">
      <c r="A53" s="4" t="s">
        <v>696</v>
      </c>
      <c r="B53" s="4" t="s">
        <v>634</v>
      </c>
      <c r="C53" s="4" t="s">
        <v>329</v>
      </c>
      <c r="D53" s="4" t="s">
        <v>697</v>
      </c>
    </row>
    <row r="54">
      <c r="A54" s="4" t="s">
        <v>637</v>
      </c>
      <c r="B54" s="4" t="s">
        <v>638</v>
      </c>
      <c r="C54" s="4" t="s">
        <v>329</v>
      </c>
      <c r="D54" s="4" t="s">
        <v>698</v>
      </c>
    </row>
    <row r="55">
      <c r="A55" s="4" t="s">
        <v>640</v>
      </c>
      <c r="B55" s="4" t="s">
        <v>641</v>
      </c>
      <c r="C55" s="4" t="s">
        <v>329</v>
      </c>
      <c r="D55" s="4" t="s">
        <v>699</v>
      </c>
    </row>
    <row r="56">
      <c r="A56" s="4" t="s">
        <v>648</v>
      </c>
      <c r="B56" s="4" t="s">
        <v>649</v>
      </c>
      <c r="C56" s="4" t="s">
        <v>329</v>
      </c>
      <c r="D56" s="4" t="s">
        <v>700</v>
      </c>
    </row>
    <row r="57">
      <c r="A57" s="4" t="s">
        <v>650</v>
      </c>
      <c r="B57" s="4" t="s">
        <v>651</v>
      </c>
      <c r="C57" s="4" t="s">
        <v>329</v>
      </c>
      <c r="D57" s="4" t="s">
        <v>382</v>
      </c>
    </row>
    <row r="58">
      <c r="A58" s="4" t="s">
        <v>653</v>
      </c>
      <c r="B58" s="4" t="s">
        <v>654</v>
      </c>
      <c r="C58" s="4" t="s">
        <v>329</v>
      </c>
      <c r="D58" s="4" t="s">
        <v>701</v>
      </c>
    </row>
    <row r="59">
      <c r="A59" s="4" t="s">
        <v>659</v>
      </c>
      <c r="B59" s="4" t="s">
        <v>660</v>
      </c>
      <c r="C59" s="4" t="s">
        <v>329</v>
      </c>
      <c r="D59" s="4" t="s">
        <v>702</v>
      </c>
    </row>
    <row r="60">
      <c r="A60" s="8" t="s">
        <v>662</v>
      </c>
      <c r="B60" s="4" t="s">
        <v>663</v>
      </c>
      <c r="C60" s="4" t="s">
        <v>329</v>
      </c>
      <c r="D60" s="4" t="s">
        <v>703</v>
      </c>
    </row>
    <row r="61">
      <c r="A61" s="4" t="s">
        <v>669</v>
      </c>
      <c r="B61" s="4" t="s">
        <v>670</v>
      </c>
      <c r="C61" s="4" t="s">
        <v>339</v>
      </c>
      <c r="D61" s="4" t="s">
        <v>704</v>
      </c>
    </row>
    <row r="62">
      <c r="A62" s="4" t="s">
        <v>705</v>
      </c>
      <c r="B62" s="4" t="s">
        <v>706</v>
      </c>
      <c r="C62" s="4" t="s">
        <v>339</v>
      </c>
      <c r="D62" s="4" t="s">
        <v>707</v>
      </c>
    </row>
    <row r="63">
      <c r="A63" s="4" t="s">
        <v>708</v>
      </c>
      <c r="B63" s="4" t="s">
        <v>709</v>
      </c>
      <c r="C63" s="4" t="s">
        <v>339</v>
      </c>
      <c r="D63" s="4" t="s">
        <v>710</v>
      </c>
    </row>
    <row r="64">
      <c r="A64" s="4" t="s">
        <v>711</v>
      </c>
      <c r="B64" s="4" t="s">
        <v>677</v>
      </c>
      <c r="C64" s="4" t="s">
        <v>339</v>
      </c>
      <c r="D64" s="4" t="s">
        <v>712</v>
      </c>
    </row>
    <row r="65">
      <c r="A65" s="4" t="s">
        <v>680</v>
      </c>
      <c r="B65" s="4" t="s">
        <v>681</v>
      </c>
      <c r="C65" s="4" t="s">
        <v>339</v>
      </c>
      <c r="D65" s="4" t="s">
        <v>713</v>
      </c>
    </row>
    <row r="66">
      <c r="A66" s="4" t="s">
        <v>683</v>
      </c>
      <c r="B66" s="4" t="s">
        <v>684</v>
      </c>
      <c r="C66" s="4" t="s">
        <v>339</v>
      </c>
      <c r="D66" s="4" t="s">
        <v>714</v>
      </c>
    </row>
    <row r="67">
      <c r="A67" s="4" t="s">
        <v>686</v>
      </c>
      <c r="B67" s="4" t="s">
        <v>687</v>
      </c>
      <c r="C67" s="4" t="s">
        <v>339</v>
      </c>
      <c r="D67" s="4" t="s">
        <v>715</v>
      </c>
    </row>
    <row r="68">
      <c r="A68" s="4" t="s">
        <v>656</v>
      </c>
      <c r="B68" s="4" t="s">
        <v>657</v>
      </c>
      <c r="C68" s="4" t="s">
        <v>339</v>
      </c>
      <c r="D68" s="4" t="s">
        <v>716</v>
      </c>
    </row>
    <row r="69">
      <c r="A69" s="4" t="s">
        <v>646</v>
      </c>
      <c r="B69" s="4" t="s">
        <v>647</v>
      </c>
      <c r="C69" s="4" t="s">
        <v>339</v>
      </c>
      <c r="D69" s="4" t="s">
        <v>717</v>
      </c>
    </row>
    <row r="70">
      <c r="A70" s="4" t="s">
        <v>635</v>
      </c>
      <c r="B70" s="4" t="s">
        <v>636</v>
      </c>
      <c r="C70" s="4" t="s">
        <v>339</v>
      </c>
      <c r="D70" s="4" t="s">
        <v>718</v>
      </c>
    </row>
    <row r="71">
      <c r="A71" s="4" t="s">
        <v>589</v>
      </c>
      <c r="B71" s="4" t="s">
        <v>590</v>
      </c>
      <c r="C71" s="4" t="s">
        <v>339</v>
      </c>
      <c r="D71" s="4" t="s">
        <v>679</v>
      </c>
    </row>
    <row r="72">
      <c r="A72" s="4" t="s">
        <v>627</v>
      </c>
      <c r="B72" s="4" t="s">
        <v>628</v>
      </c>
      <c r="C72" s="4" t="s">
        <v>339</v>
      </c>
      <c r="D72" s="4" t="s">
        <v>719</v>
      </c>
    </row>
    <row r="73">
      <c r="A73" s="4" t="s">
        <v>615</v>
      </c>
      <c r="B73" s="4" t="s">
        <v>616</v>
      </c>
      <c r="C73" s="4" t="s">
        <v>339</v>
      </c>
      <c r="D73" s="4" t="s">
        <v>720</v>
      </c>
    </row>
    <row r="74">
      <c r="A74" s="4" t="s">
        <v>610</v>
      </c>
      <c r="B74" s="4" t="s">
        <v>611</v>
      </c>
      <c r="C74" s="4" t="s">
        <v>339</v>
      </c>
      <c r="D74" s="4" t="s">
        <v>721</v>
      </c>
    </row>
    <row r="75">
      <c r="A75" s="4" t="s">
        <v>604</v>
      </c>
      <c r="B75" s="4" t="s">
        <v>605</v>
      </c>
      <c r="C75" s="4" t="s">
        <v>339</v>
      </c>
      <c r="D75" s="4" t="s">
        <v>665</v>
      </c>
    </row>
    <row r="76">
      <c r="A76" s="4" t="s">
        <v>607</v>
      </c>
      <c r="B76" s="4" t="s">
        <v>608</v>
      </c>
      <c r="C76" s="4" t="s">
        <v>339</v>
      </c>
      <c r="D76" s="4" t="s">
        <v>722</v>
      </c>
    </row>
    <row r="77">
      <c r="A77" s="4" t="s">
        <v>723</v>
      </c>
      <c r="B77" s="4" t="s">
        <v>660</v>
      </c>
      <c r="C77" s="4" t="s">
        <v>329</v>
      </c>
      <c r="D77" s="4" t="s">
        <v>724</v>
      </c>
    </row>
    <row r="78">
      <c r="A78" s="4" t="s">
        <v>725</v>
      </c>
      <c r="B78" s="4" t="s">
        <v>582</v>
      </c>
      <c r="C78" s="4" t="s">
        <v>329</v>
      </c>
      <c r="D78" s="4" t="s">
        <v>726</v>
      </c>
    </row>
    <row r="79">
      <c r="A79" s="4" t="s">
        <v>584</v>
      </c>
      <c r="B79" s="4" t="s">
        <v>585</v>
      </c>
      <c r="C79" s="4" t="s">
        <v>329</v>
      </c>
      <c r="D79" s="4" t="s">
        <v>727</v>
      </c>
    </row>
    <row r="80">
      <c r="A80" s="4" t="s">
        <v>587</v>
      </c>
      <c r="B80" s="4" t="s">
        <v>588</v>
      </c>
      <c r="C80" s="4" t="s">
        <v>329</v>
      </c>
      <c r="D80" s="4" t="s">
        <v>691</v>
      </c>
    </row>
    <row r="81">
      <c r="A81" s="4" t="s">
        <v>613</v>
      </c>
      <c r="B81" s="4" t="s">
        <v>490</v>
      </c>
      <c r="C81" s="4" t="s">
        <v>329</v>
      </c>
      <c r="D81" s="4" t="s">
        <v>382</v>
      </c>
    </row>
    <row r="82">
      <c r="A82" s="4" t="s">
        <v>621</v>
      </c>
      <c r="B82" s="4" t="s">
        <v>622</v>
      </c>
      <c r="C82" s="4" t="s">
        <v>329</v>
      </c>
      <c r="D82" s="4" t="s">
        <v>693</v>
      </c>
    </row>
    <row r="83">
      <c r="A83" s="4" t="s">
        <v>624</v>
      </c>
      <c r="B83" s="4" t="s">
        <v>625</v>
      </c>
      <c r="C83" s="4" t="s">
        <v>329</v>
      </c>
      <c r="D83" s="4" t="s">
        <v>694</v>
      </c>
    </row>
    <row r="84">
      <c r="A84" s="4" t="s">
        <v>630</v>
      </c>
      <c r="B84" s="4" t="s">
        <v>631</v>
      </c>
      <c r="C84" s="4" t="s">
        <v>329</v>
      </c>
      <c r="D84" s="4" t="s">
        <v>695</v>
      </c>
    </row>
    <row r="85">
      <c r="A85" s="4" t="s">
        <v>696</v>
      </c>
      <c r="B85" s="4" t="s">
        <v>634</v>
      </c>
      <c r="C85" s="4" t="s">
        <v>329</v>
      </c>
      <c r="D85" s="4" t="s">
        <v>728</v>
      </c>
    </row>
    <row r="86">
      <c r="A86" s="4" t="s">
        <v>637</v>
      </c>
      <c r="B86" s="4" t="s">
        <v>638</v>
      </c>
      <c r="C86" s="4" t="s">
        <v>329</v>
      </c>
      <c r="D86" s="4" t="s">
        <v>698</v>
      </c>
    </row>
    <row r="87">
      <c r="A87" s="4" t="s">
        <v>640</v>
      </c>
      <c r="B87" s="4" t="s">
        <v>641</v>
      </c>
      <c r="C87" s="4" t="s">
        <v>329</v>
      </c>
      <c r="D87" s="4" t="s">
        <v>729</v>
      </c>
    </row>
    <row r="88">
      <c r="A88" s="4" t="s">
        <v>648</v>
      </c>
      <c r="B88" s="4" t="s">
        <v>649</v>
      </c>
      <c r="C88" s="4" t="s">
        <v>329</v>
      </c>
      <c r="D88" s="4" t="s">
        <v>700</v>
      </c>
    </row>
    <row r="89">
      <c r="A89" s="4" t="s">
        <v>650</v>
      </c>
      <c r="B89" s="4" t="s">
        <v>651</v>
      </c>
      <c r="C89" s="4" t="s">
        <v>329</v>
      </c>
      <c r="D89" s="4" t="s">
        <v>382</v>
      </c>
    </row>
    <row r="90">
      <c r="A90" s="4" t="s">
        <v>653</v>
      </c>
      <c r="B90" s="4" t="s">
        <v>654</v>
      </c>
      <c r="C90" s="4" t="s">
        <v>329</v>
      </c>
      <c r="D90" s="4" t="s">
        <v>701</v>
      </c>
    </row>
    <row r="91">
      <c r="A91" s="5"/>
    </row>
  </sheetData>
  <hyperlinks>
    <hyperlink r:id="rId1" ref="A60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730</v>
      </c>
      <c r="B1" s="4" t="s">
        <v>731</v>
      </c>
      <c r="C1" s="4" t="s">
        <v>329</v>
      </c>
      <c r="D1" s="4" t="s">
        <v>732</v>
      </c>
    </row>
    <row r="2">
      <c r="A2" s="4" t="s">
        <v>733</v>
      </c>
      <c r="B2" s="4" t="s">
        <v>734</v>
      </c>
      <c r="C2" s="4" t="s">
        <v>329</v>
      </c>
      <c r="D2" s="4" t="s">
        <v>735</v>
      </c>
    </row>
    <row r="3">
      <c r="A3" s="4" t="s">
        <v>736</v>
      </c>
      <c r="B3" s="4" t="s">
        <v>737</v>
      </c>
      <c r="C3" s="4" t="s">
        <v>329</v>
      </c>
      <c r="D3" s="4" t="s">
        <v>738</v>
      </c>
    </row>
    <row r="4">
      <c r="A4" s="4" t="s">
        <v>739</v>
      </c>
      <c r="B4" s="4" t="s">
        <v>740</v>
      </c>
      <c r="C4" s="4" t="s">
        <v>329</v>
      </c>
      <c r="D4" s="4" t="s">
        <v>741</v>
      </c>
    </row>
    <row r="5">
      <c r="A5" s="4" t="s">
        <v>742</v>
      </c>
      <c r="B5" s="4" t="s">
        <v>743</v>
      </c>
      <c r="C5" s="4" t="s">
        <v>329</v>
      </c>
      <c r="D5" s="4" t="s">
        <v>744</v>
      </c>
    </row>
    <row r="6">
      <c r="A6" s="4" t="s">
        <v>745</v>
      </c>
      <c r="B6" s="4" t="s">
        <v>746</v>
      </c>
      <c r="C6" s="4" t="s">
        <v>329</v>
      </c>
      <c r="D6" s="4" t="s">
        <v>747</v>
      </c>
    </row>
    <row r="7">
      <c r="A7" s="4" t="s">
        <v>748</v>
      </c>
      <c r="B7" s="4" t="s">
        <v>414</v>
      </c>
      <c r="C7" s="4" t="s">
        <v>329</v>
      </c>
      <c r="D7" s="4" t="s">
        <v>749</v>
      </c>
    </row>
    <row r="8">
      <c r="A8" s="4" t="s">
        <v>750</v>
      </c>
      <c r="B8" s="4" t="s">
        <v>751</v>
      </c>
      <c r="C8" s="4" t="s">
        <v>339</v>
      </c>
      <c r="D8" s="4" t="s">
        <v>752</v>
      </c>
    </row>
    <row r="9">
      <c r="A9" s="4" t="s">
        <v>753</v>
      </c>
      <c r="B9" s="4" t="s">
        <v>754</v>
      </c>
      <c r="C9" s="4" t="s">
        <v>329</v>
      </c>
      <c r="D9" s="4" t="s">
        <v>755</v>
      </c>
    </row>
    <row r="10">
      <c r="A10" s="4" t="s">
        <v>756</v>
      </c>
      <c r="B10" s="4" t="s">
        <v>757</v>
      </c>
      <c r="C10" s="4" t="s">
        <v>329</v>
      </c>
      <c r="D10" s="4" t="s">
        <v>735</v>
      </c>
    </row>
    <row r="11">
      <c r="A11" s="4" t="s">
        <v>758</v>
      </c>
      <c r="B11" s="4" t="s">
        <v>759</v>
      </c>
      <c r="C11" s="4" t="s">
        <v>329</v>
      </c>
      <c r="D11" s="4" t="s">
        <v>760</v>
      </c>
    </row>
    <row r="12">
      <c r="A12" s="4" t="s">
        <v>761</v>
      </c>
      <c r="B12" s="4" t="s">
        <v>762</v>
      </c>
      <c r="C12" s="4" t="s">
        <v>339</v>
      </c>
      <c r="D12" s="4" t="s">
        <v>763</v>
      </c>
    </row>
    <row r="13">
      <c r="A13" s="4" t="s">
        <v>764</v>
      </c>
      <c r="B13" s="4" t="s">
        <v>765</v>
      </c>
      <c r="C13" s="4" t="s">
        <v>329</v>
      </c>
      <c r="D13" s="4" t="s">
        <v>766</v>
      </c>
    </row>
    <row r="14">
      <c r="A14" s="4" t="s">
        <v>767</v>
      </c>
      <c r="B14" s="4" t="s">
        <v>768</v>
      </c>
      <c r="C14" s="4" t="s">
        <v>329</v>
      </c>
      <c r="D14" s="4" t="s">
        <v>769</v>
      </c>
    </row>
    <row r="15">
      <c r="A15" s="4" t="s">
        <v>770</v>
      </c>
      <c r="B15" s="4" t="s">
        <v>771</v>
      </c>
      <c r="C15" s="4" t="s">
        <v>329</v>
      </c>
      <c r="D15" s="4" t="s">
        <v>772</v>
      </c>
    </row>
    <row r="16">
      <c r="A16" s="4" t="s">
        <v>773</v>
      </c>
      <c r="B16" s="4" t="s">
        <v>774</v>
      </c>
      <c r="C16" s="4" t="s">
        <v>329</v>
      </c>
      <c r="D16" s="4" t="s">
        <v>775</v>
      </c>
    </row>
    <row r="17">
      <c r="A17" s="4" t="s">
        <v>776</v>
      </c>
      <c r="B17" s="4" t="s">
        <v>777</v>
      </c>
      <c r="C17" s="4" t="s">
        <v>329</v>
      </c>
      <c r="D17" s="4" t="s">
        <v>778</v>
      </c>
    </row>
    <row r="18">
      <c r="A18" s="4" t="s">
        <v>779</v>
      </c>
      <c r="B18" s="4" t="s">
        <v>780</v>
      </c>
      <c r="C18" s="4" t="s">
        <v>329</v>
      </c>
      <c r="D18" s="4" t="s">
        <v>781</v>
      </c>
    </row>
    <row r="19">
      <c r="A19" s="4" t="s">
        <v>782</v>
      </c>
      <c r="B19" s="4" t="s">
        <v>783</v>
      </c>
      <c r="C19" s="4" t="s">
        <v>329</v>
      </c>
      <c r="D19" s="4" t="s">
        <v>784</v>
      </c>
    </row>
    <row r="20">
      <c r="A20" s="4" t="s">
        <v>785</v>
      </c>
      <c r="B20" s="4" t="s">
        <v>786</v>
      </c>
      <c r="C20" s="4" t="s">
        <v>339</v>
      </c>
      <c r="D20" s="4" t="s">
        <v>787</v>
      </c>
    </row>
    <row r="21">
      <c r="A21" s="4" t="s">
        <v>788</v>
      </c>
      <c r="B21" s="4" t="s">
        <v>789</v>
      </c>
      <c r="C21" s="4" t="s">
        <v>329</v>
      </c>
      <c r="D21" s="4" t="s">
        <v>790</v>
      </c>
    </row>
    <row r="22">
      <c r="A22" s="4" t="s">
        <v>791</v>
      </c>
      <c r="B22" s="4" t="s">
        <v>792</v>
      </c>
      <c r="C22" s="4" t="s">
        <v>329</v>
      </c>
      <c r="D22" s="4" t="s">
        <v>793</v>
      </c>
    </row>
    <row r="23">
      <c r="A23" s="4" t="s">
        <v>794</v>
      </c>
      <c r="B23" s="4" t="s">
        <v>795</v>
      </c>
      <c r="C23" s="4" t="s">
        <v>329</v>
      </c>
      <c r="D23" s="4" t="s">
        <v>796</v>
      </c>
    </row>
    <row r="24">
      <c r="A24" s="4" t="s">
        <v>797</v>
      </c>
      <c r="B24" s="4" t="s">
        <v>798</v>
      </c>
      <c r="C24" s="4" t="s">
        <v>339</v>
      </c>
      <c r="D24" s="4" t="s">
        <v>799</v>
      </c>
    </row>
    <row r="25">
      <c r="A25" s="4" t="s">
        <v>800</v>
      </c>
      <c r="B25" s="4" t="s">
        <v>801</v>
      </c>
      <c r="C25" s="4" t="s">
        <v>339</v>
      </c>
      <c r="D25" s="4" t="s">
        <v>802</v>
      </c>
    </row>
    <row r="26">
      <c r="A26" s="4" t="s">
        <v>803</v>
      </c>
      <c r="B26" s="4" t="s">
        <v>804</v>
      </c>
      <c r="C26" s="4" t="s">
        <v>329</v>
      </c>
      <c r="D26" s="4" t="s">
        <v>805</v>
      </c>
    </row>
    <row r="27">
      <c r="A27" s="4" t="s">
        <v>806</v>
      </c>
      <c r="B27" s="4" t="s">
        <v>807</v>
      </c>
      <c r="C27" s="4" t="s">
        <v>329</v>
      </c>
      <c r="D27" s="4" t="s">
        <v>808</v>
      </c>
    </row>
    <row r="28">
      <c r="A28" s="4" t="s">
        <v>809</v>
      </c>
      <c r="B28" s="4" t="s">
        <v>810</v>
      </c>
      <c r="C28" s="4" t="s">
        <v>329</v>
      </c>
      <c r="D28" s="4" t="s">
        <v>811</v>
      </c>
    </row>
    <row r="29">
      <c r="A29" s="4" t="s">
        <v>812</v>
      </c>
      <c r="B29" s="4" t="s">
        <v>813</v>
      </c>
      <c r="C29" s="4" t="s">
        <v>329</v>
      </c>
      <c r="D29" s="4" t="s">
        <v>769</v>
      </c>
    </row>
    <row r="30">
      <c r="A30" s="8" t="s">
        <v>814</v>
      </c>
      <c r="B30" s="4" t="s">
        <v>815</v>
      </c>
      <c r="C30" s="4" t="s">
        <v>329</v>
      </c>
      <c r="D30" s="4" t="s">
        <v>816</v>
      </c>
    </row>
    <row r="31">
      <c r="A31" s="4" t="s">
        <v>767</v>
      </c>
      <c r="B31" s="4" t="s">
        <v>768</v>
      </c>
      <c r="C31" s="4" t="s">
        <v>329</v>
      </c>
      <c r="D31" s="4" t="s">
        <v>769</v>
      </c>
    </row>
    <row r="32">
      <c r="A32" s="4" t="s">
        <v>770</v>
      </c>
      <c r="B32" s="4" t="s">
        <v>771</v>
      </c>
      <c r="C32" s="4" t="s">
        <v>329</v>
      </c>
      <c r="D32" s="4" t="s">
        <v>772</v>
      </c>
    </row>
    <row r="33">
      <c r="A33" s="4" t="s">
        <v>773</v>
      </c>
      <c r="B33" s="4" t="s">
        <v>774</v>
      </c>
      <c r="C33" s="4" t="s">
        <v>329</v>
      </c>
      <c r="D33" s="4" t="s">
        <v>775</v>
      </c>
    </row>
    <row r="34">
      <c r="A34" s="4" t="s">
        <v>776</v>
      </c>
      <c r="B34" s="4" t="s">
        <v>777</v>
      </c>
      <c r="C34" s="4" t="s">
        <v>329</v>
      </c>
      <c r="D34" s="4" t="s">
        <v>778</v>
      </c>
    </row>
    <row r="35">
      <c r="A35" s="4" t="s">
        <v>779</v>
      </c>
      <c r="B35" s="4" t="s">
        <v>780</v>
      </c>
      <c r="C35" s="4" t="s">
        <v>329</v>
      </c>
      <c r="D35" s="4" t="s">
        <v>781</v>
      </c>
    </row>
    <row r="36">
      <c r="A36" s="4" t="s">
        <v>782</v>
      </c>
      <c r="B36" s="4" t="s">
        <v>783</v>
      </c>
      <c r="C36" s="4" t="s">
        <v>329</v>
      </c>
      <c r="D36" s="4" t="s">
        <v>784</v>
      </c>
    </row>
    <row r="37">
      <c r="A37" s="4" t="s">
        <v>785</v>
      </c>
      <c r="B37" s="4" t="s">
        <v>786</v>
      </c>
      <c r="C37" s="4" t="s">
        <v>339</v>
      </c>
      <c r="D37" s="4" t="s">
        <v>787</v>
      </c>
    </row>
    <row r="38">
      <c r="A38" s="4" t="s">
        <v>788</v>
      </c>
      <c r="B38" s="4" t="s">
        <v>789</v>
      </c>
      <c r="C38" s="4" t="s">
        <v>329</v>
      </c>
      <c r="D38" s="4" t="s">
        <v>790</v>
      </c>
    </row>
    <row r="39">
      <c r="A39" s="4" t="s">
        <v>791</v>
      </c>
      <c r="B39" s="4" t="s">
        <v>792</v>
      </c>
      <c r="C39" s="4" t="s">
        <v>329</v>
      </c>
      <c r="D39" s="4" t="s">
        <v>793</v>
      </c>
    </row>
    <row r="40">
      <c r="A40" s="4" t="s">
        <v>794</v>
      </c>
      <c r="B40" s="4" t="s">
        <v>795</v>
      </c>
      <c r="C40" s="4" t="s">
        <v>329</v>
      </c>
      <c r="D40" s="4" t="s">
        <v>796</v>
      </c>
    </row>
    <row r="41">
      <c r="A41" s="4" t="s">
        <v>797</v>
      </c>
      <c r="B41" s="4" t="s">
        <v>798</v>
      </c>
      <c r="C41" s="4" t="s">
        <v>339</v>
      </c>
      <c r="D41" s="4" t="s">
        <v>799</v>
      </c>
    </row>
    <row r="42">
      <c r="A42" s="4" t="s">
        <v>800</v>
      </c>
      <c r="B42" s="4" t="s">
        <v>801</v>
      </c>
      <c r="C42" s="4" t="s">
        <v>339</v>
      </c>
      <c r="D42" s="4" t="s">
        <v>802</v>
      </c>
    </row>
    <row r="43">
      <c r="A43" s="4" t="s">
        <v>803</v>
      </c>
      <c r="B43" s="4" t="s">
        <v>804</v>
      </c>
      <c r="C43" s="4" t="s">
        <v>329</v>
      </c>
      <c r="D43" s="4" t="s">
        <v>805</v>
      </c>
    </row>
    <row r="44">
      <c r="A44" s="4" t="s">
        <v>806</v>
      </c>
      <c r="B44" s="4" t="s">
        <v>807</v>
      </c>
      <c r="C44" s="4" t="s">
        <v>329</v>
      </c>
      <c r="D44" s="4" t="s">
        <v>808</v>
      </c>
    </row>
    <row r="45">
      <c r="A45" s="4" t="s">
        <v>809</v>
      </c>
      <c r="B45" s="4" t="s">
        <v>810</v>
      </c>
      <c r="C45" s="4" t="s">
        <v>329</v>
      </c>
      <c r="D45" s="4" t="s">
        <v>811</v>
      </c>
    </row>
    <row r="46">
      <c r="A46" s="4" t="s">
        <v>812</v>
      </c>
      <c r="B46" s="4" t="s">
        <v>813</v>
      </c>
      <c r="C46" s="4" t="s">
        <v>329</v>
      </c>
      <c r="D46" s="4" t="s">
        <v>769</v>
      </c>
    </row>
    <row r="47">
      <c r="A47" s="4" t="s">
        <v>814</v>
      </c>
      <c r="B47" s="4" t="s">
        <v>815</v>
      </c>
      <c r="C47" s="4" t="s">
        <v>329</v>
      </c>
      <c r="D47" s="4" t="s">
        <v>816</v>
      </c>
    </row>
    <row r="48">
      <c r="A48" s="4" t="s">
        <v>817</v>
      </c>
      <c r="B48" s="4" t="s">
        <v>818</v>
      </c>
      <c r="C48" s="4" t="s">
        <v>329</v>
      </c>
      <c r="D48" s="4" t="s">
        <v>735</v>
      </c>
    </row>
    <row r="49">
      <c r="A49" s="4" t="s">
        <v>819</v>
      </c>
      <c r="B49" s="4" t="s">
        <v>820</v>
      </c>
      <c r="C49" s="4" t="s">
        <v>329</v>
      </c>
      <c r="D49" s="4" t="s">
        <v>821</v>
      </c>
    </row>
    <row r="50">
      <c r="A50" s="4" t="s">
        <v>822</v>
      </c>
      <c r="B50" s="4" t="s">
        <v>823</v>
      </c>
      <c r="C50" s="4" t="s">
        <v>329</v>
      </c>
      <c r="D50" s="4" t="s">
        <v>824</v>
      </c>
    </row>
    <row r="51">
      <c r="A51" s="5"/>
      <c r="B51" s="5"/>
      <c r="C51" s="5"/>
      <c r="D51" s="5"/>
    </row>
  </sheetData>
  <hyperlinks>
    <hyperlink r:id="rId1" ref="A30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825</v>
      </c>
      <c r="B1" s="14" t="s">
        <v>826</v>
      </c>
      <c r="C1" s="4" t="s">
        <v>339</v>
      </c>
      <c r="D1" s="4" t="s">
        <v>827</v>
      </c>
    </row>
    <row r="2">
      <c r="A2" s="4" t="s">
        <v>828</v>
      </c>
      <c r="B2" s="14" t="s">
        <v>829</v>
      </c>
      <c r="C2" s="4" t="s">
        <v>339</v>
      </c>
      <c r="D2" s="4" t="s">
        <v>830</v>
      </c>
    </row>
    <row r="3">
      <c r="A3" s="4" t="s">
        <v>831</v>
      </c>
      <c r="B3" s="14" t="s">
        <v>832</v>
      </c>
      <c r="C3" s="4" t="s">
        <v>329</v>
      </c>
      <c r="D3" s="4" t="s">
        <v>833</v>
      </c>
    </row>
    <row r="4">
      <c r="A4" s="4" t="s">
        <v>834</v>
      </c>
      <c r="B4" s="14" t="s">
        <v>835</v>
      </c>
      <c r="C4" s="4" t="s">
        <v>339</v>
      </c>
      <c r="D4" s="4" t="s">
        <v>836</v>
      </c>
    </row>
    <row r="5">
      <c r="A5" s="4" t="s">
        <v>837</v>
      </c>
      <c r="B5" s="14" t="s">
        <v>838</v>
      </c>
      <c r="C5" s="4" t="s">
        <v>329</v>
      </c>
      <c r="D5" s="4" t="s">
        <v>839</v>
      </c>
    </row>
    <row r="6">
      <c r="A6" s="4" t="s">
        <v>840</v>
      </c>
      <c r="B6" s="14" t="s">
        <v>841</v>
      </c>
      <c r="C6" s="4" t="s">
        <v>329</v>
      </c>
      <c r="D6" s="4" t="s">
        <v>842</v>
      </c>
    </row>
    <row r="7">
      <c r="A7" s="4" t="s">
        <v>843</v>
      </c>
      <c r="B7" s="14" t="s">
        <v>844</v>
      </c>
      <c r="C7" s="4" t="s">
        <v>339</v>
      </c>
      <c r="D7" s="4" t="s">
        <v>845</v>
      </c>
    </row>
    <row r="8">
      <c r="A8" s="4" t="s">
        <v>846</v>
      </c>
      <c r="B8" s="14" t="s">
        <v>847</v>
      </c>
      <c r="C8" s="4" t="s">
        <v>329</v>
      </c>
      <c r="D8" s="4" t="s">
        <v>848</v>
      </c>
    </row>
    <row r="9">
      <c r="A9" s="4" t="s">
        <v>849</v>
      </c>
      <c r="B9" s="14" t="s">
        <v>850</v>
      </c>
      <c r="C9" s="4" t="s">
        <v>339</v>
      </c>
      <c r="D9" s="4" t="s">
        <v>851</v>
      </c>
    </row>
    <row r="10">
      <c r="A10" s="4" t="s">
        <v>852</v>
      </c>
      <c r="B10" s="14" t="s">
        <v>853</v>
      </c>
      <c r="C10" s="4" t="s">
        <v>329</v>
      </c>
      <c r="D10" s="4" t="s">
        <v>854</v>
      </c>
    </row>
    <row r="11">
      <c r="A11" s="4" t="s">
        <v>855</v>
      </c>
      <c r="B11" s="14" t="s">
        <v>856</v>
      </c>
      <c r="C11" s="4" t="s">
        <v>329</v>
      </c>
      <c r="D11" s="4" t="s">
        <v>857</v>
      </c>
    </row>
    <row r="12">
      <c r="A12" s="4" t="s">
        <v>858</v>
      </c>
      <c r="B12" s="14" t="s">
        <v>859</v>
      </c>
      <c r="C12" s="4" t="s">
        <v>339</v>
      </c>
      <c r="D12" s="4" t="s">
        <v>860</v>
      </c>
    </row>
    <row r="13">
      <c r="A13" s="4" t="s">
        <v>861</v>
      </c>
      <c r="B13" s="14" t="s">
        <v>862</v>
      </c>
      <c r="C13" s="4" t="s">
        <v>339</v>
      </c>
      <c r="D13" s="4" t="s">
        <v>863</v>
      </c>
    </row>
    <row r="14">
      <c r="A14" s="4" t="s">
        <v>864</v>
      </c>
      <c r="B14" s="14" t="s">
        <v>865</v>
      </c>
      <c r="C14" s="4" t="s">
        <v>329</v>
      </c>
      <c r="D14" s="4" t="s">
        <v>866</v>
      </c>
    </row>
    <row r="15">
      <c r="A15" s="4" t="s">
        <v>867</v>
      </c>
      <c r="B15" s="14" t="s">
        <v>868</v>
      </c>
      <c r="C15" s="4" t="s">
        <v>329</v>
      </c>
      <c r="D15" s="4" t="s">
        <v>869</v>
      </c>
    </row>
    <row r="16">
      <c r="A16" s="4" t="s">
        <v>870</v>
      </c>
      <c r="B16" s="14" t="s">
        <v>335</v>
      </c>
      <c r="C16" s="4" t="s">
        <v>329</v>
      </c>
      <c r="D16" s="4" t="s">
        <v>871</v>
      </c>
    </row>
    <row r="17">
      <c r="A17" s="4" t="s">
        <v>872</v>
      </c>
      <c r="B17" s="14" t="s">
        <v>873</v>
      </c>
      <c r="C17" s="4" t="s">
        <v>339</v>
      </c>
      <c r="D17" s="4" t="s">
        <v>874</v>
      </c>
    </row>
    <row r="18">
      <c r="A18" s="4" t="s">
        <v>875</v>
      </c>
      <c r="B18" s="14" t="s">
        <v>876</v>
      </c>
      <c r="C18" s="4" t="s">
        <v>339</v>
      </c>
      <c r="D18" s="4" t="s">
        <v>877</v>
      </c>
    </row>
    <row r="19">
      <c r="A19" s="4" t="s">
        <v>878</v>
      </c>
      <c r="B19" s="14" t="s">
        <v>879</v>
      </c>
      <c r="C19" s="4" t="s">
        <v>339</v>
      </c>
      <c r="D19" s="4" t="s">
        <v>880</v>
      </c>
    </row>
    <row r="20">
      <c r="A20" s="4" t="s">
        <v>881</v>
      </c>
      <c r="B20" s="4" t="s">
        <v>882</v>
      </c>
      <c r="C20" s="4" t="s">
        <v>339</v>
      </c>
      <c r="D20" s="4" t="s">
        <v>883</v>
      </c>
    </row>
    <row r="21">
      <c r="A21" s="4" t="s">
        <v>884</v>
      </c>
      <c r="B21" s="14" t="s">
        <v>885</v>
      </c>
      <c r="C21" s="4" t="s">
        <v>339</v>
      </c>
      <c r="D21" s="4" t="s">
        <v>886</v>
      </c>
    </row>
    <row r="22">
      <c r="A22" s="4" t="s">
        <v>887</v>
      </c>
      <c r="B22" s="14" t="s">
        <v>888</v>
      </c>
      <c r="C22" s="4" t="s">
        <v>339</v>
      </c>
      <c r="D22" s="4" t="s">
        <v>889</v>
      </c>
    </row>
    <row r="23">
      <c r="A23" s="4" t="s">
        <v>890</v>
      </c>
      <c r="B23" s="14" t="s">
        <v>891</v>
      </c>
      <c r="C23" s="4" t="s">
        <v>339</v>
      </c>
      <c r="D23" s="4" t="s">
        <v>892</v>
      </c>
    </row>
    <row r="24">
      <c r="A24" s="4" t="s">
        <v>398</v>
      </c>
      <c r="B24" s="14" t="s">
        <v>893</v>
      </c>
      <c r="C24" s="4" t="s">
        <v>339</v>
      </c>
      <c r="D24" s="4" t="s">
        <v>894</v>
      </c>
    </row>
    <row r="25">
      <c r="A25" s="4" t="s">
        <v>895</v>
      </c>
      <c r="B25" s="14" t="s">
        <v>896</v>
      </c>
      <c r="C25" s="4" t="s">
        <v>339</v>
      </c>
      <c r="D25" s="4" t="s">
        <v>897</v>
      </c>
    </row>
    <row r="26">
      <c r="A26" s="4" t="s">
        <v>898</v>
      </c>
      <c r="B26" s="14" t="s">
        <v>899</v>
      </c>
      <c r="C26" s="4" t="s">
        <v>339</v>
      </c>
      <c r="D26" s="4" t="s">
        <v>900</v>
      </c>
    </row>
    <row r="27">
      <c r="A27" s="4" t="s">
        <v>901</v>
      </c>
      <c r="B27" s="14" t="s">
        <v>902</v>
      </c>
      <c r="C27" s="4" t="s">
        <v>339</v>
      </c>
      <c r="D27" s="4" t="s">
        <v>903</v>
      </c>
    </row>
    <row r="28">
      <c r="A28" s="4" t="s">
        <v>904</v>
      </c>
      <c r="B28" s="14" t="s">
        <v>905</v>
      </c>
      <c r="C28" s="4" t="s">
        <v>339</v>
      </c>
      <c r="D28" s="4" t="s">
        <v>906</v>
      </c>
    </row>
    <row r="29">
      <c r="A29" s="4" t="s">
        <v>907</v>
      </c>
      <c r="B29" s="14" t="s">
        <v>908</v>
      </c>
      <c r="C29" s="4" t="s">
        <v>339</v>
      </c>
      <c r="D29" s="4" t="s">
        <v>909</v>
      </c>
    </row>
    <row r="30">
      <c r="A30" s="4" t="s">
        <v>910</v>
      </c>
      <c r="B30" s="14" t="s">
        <v>911</v>
      </c>
      <c r="C30" s="4" t="s">
        <v>339</v>
      </c>
      <c r="D30" s="4" t="s">
        <v>912</v>
      </c>
    </row>
    <row r="31">
      <c r="A31" s="4" t="s">
        <v>913</v>
      </c>
      <c r="B31" s="14" t="s">
        <v>914</v>
      </c>
      <c r="C31" s="4" t="s">
        <v>339</v>
      </c>
      <c r="D31" s="4" t="s">
        <v>915</v>
      </c>
    </row>
    <row r="32">
      <c r="A32" s="4" t="s">
        <v>916</v>
      </c>
      <c r="B32" s="14" t="s">
        <v>917</v>
      </c>
      <c r="C32" s="4" t="s">
        <v>339</v>
      </c>
      <c r="D32" s="4" t="s">
        <v>918</v>
      </c>
    </row>
    <row r="33">
      <c r="A33" s="4" t="s">
        <v>919</v>
      </c>
      <c r="B33" s="14" t="s">
        <v>335</v>
      </c>
      <c r="C33" s="4" t="s">
        <v>329</v>
      </c>
      <c r="D33" s="4" t="s">
        <v>920</v>
      </c>
    </row>
    <row r="34">
      <c r="A34" s="4" t="s">
        <v>921</v>
      </c>
      <c r="B34" s="14" t="s">
        <v>922</v>
      </c>
      <c r="C34" s="4" t="s">
        <v>339</v>
      </c>
      <c r="D34" s="4" t="s">
        <v>923</v>
      </c>
    </row>
    <row r="35">
      <c r="A35" s="4" t="s">
        <v>924</v>
      </c>
      <c r="B35" s="14" t="s">
        <v>925</v>
      </c>
      <c r="C35" s="4" t="s">
        <v>339</v>
      </c>
      <c r="D35" s="4" t="s">
        <v>926</v>
      </c>
    </row>
    <row r="36">
      <c r="A36" s="4" t="s">
        <v>927</v>
      </c>
      <c r="B36" s="14" t="s">
        <v>928</v>
      </c>
      <c r="C36" s="4" t="s">
        <v>339</v>
      </c>
      <c r="D36" s="4" t="s">
        <v>929</v>
      </c>
    </row>
    <row r="37">
      <c r="A37" s="4" t="s">
        <v>930</v>
      </c>
      <c r="B37" s="14" t="s">
        <v>931</v>
      </c>
      <c r="C37" s="4" t="s">
        <v>339</v>
      </c>
      <c r="D37" s="4" t="s">
        <v>932</v>
      </c>
    </row>
    <row r="38">
      <c r="A38" s="4" t="s">
        <v>933</v>
      </c>
      <c r="B38" s="14" t="s">
        <v>934</v>
      </c>
      <c r="C38" s="4" t="s">
        <v>339</v>
      </c>
      <c r="D38" s="4" t="s">
        <v>894</v>
      </c>
    </row>
    <row r="39">
      <c r="A39" s="4" t="s">
        <v>935</v>
      </c>
      <c r="B39" s="14" t="s">
        <v>936</v>
      </c>
      <c r="C39" s="4" t="s">
        <v>339</v>
      </c>
      <c r="D39" s="4" t="s">
        <v>937</v>
      </c>
    </row>
    <row r="40">
      <c r="A40" s="4" t="s">
        <v>938</v>
      </c>
      <c r="B40" s="14" t="s">
        <v>939</v>
      </c>
      <c r="C40" s="4" t="s">
        <v>339</v>
      </c>
      <c r="D40" s="4" t="s">
        <v>940</v>
      </c>
    </row>
    <row r="41">
      <c r="A41" s="4" t="s">
        <v>941</v>
      </c>
      <c r="B41" s="4" t="s">
        <v>942</v>
      </c>
      <c r="C41" s="4" t="s">
        <v>339</v>
      </c>
      <c r="D41" s="4" t="s">
        <v>943</v>
      </c>
    </row>
    <row r="42">
      <c r="A42" s="4" t="s">
        <v>944</v>
      </c>
      <c r="B42" s="4" t="s">
        <v>942</v>
      </c>
      <c r="C42" s="4" t="s">
        <v>339</v>
      </c>
      <c r="D42" s="4" t="s">
        <v>945</v>
      </c>
    </row>
    <row r="43">
      <c r="A43" s="4" t="s">
        <v>946</v>
      </c>
      <c r="B43" s="4" t="s">
        <v>942</v>
      </c>
      <c r="C43" s="4" t="s">
        <v>339</v>
      </c>
      <c r="D43" s="4" t="s">
        <v>947</v>
      </c>
    </row>
    <row r="44">
      <c r="A44" s="4" t="s">
        <v>948</v>
      </c>
      <c r="B44" s="14" t="s">
        <v>949</v>
      </c>
      <c r="C44" s="4" t="s">
        <v>339</v>
      </c>
      <c r="D44" s="4" t="s">
        <v>950</v>
      </c>
    </row>
    <row r="45">
      <c r="A45" s="4" t="s">
        <v>951</v>
      </c>
      <c r="B45" s="4" t="s">
        <v>942</v>
      </c>
      <c r="C45" s="4" t="s">
        <v>339</v>
      </c>
      <c r="D45" s="4" t="s">
        <v>892</v>
      </c>
    </row>
    <row r="46">
      <c r="A46" s="4" t="s">
        <v>952</v>
      </c>
      <c r="B46" s="14" t="s">
        <v>953</v>
      </c>
      <c r="C46" s="4" t="s">
        <v>339</v>
      </c>
      <c r="D46" s="4" t="s">
        <v>877</v>
      </c>
    </row>
    <row r="47">
      <c r="A47" s="4" t="s">
        <v>954</v>
      </c>
      <c r="B47" s="4" t="s">
        <v>942</v>
      </c>
      <c r="C47" s="4" t="s">
        <v>339</v>
      </c>
      <c r="D47" s="4" t="s">
        <v>955</v>
      </c>
    </row>
    <row r="48">
      <c r="A48" s="4" t="s">
        <v>956</v>
      </c>
      <c r="B48" s="14" t="s">
        <v>957</v>
      </c>
      <c r="C48" s="4" t="s">
        <v>339</v>
      </c>
      <c r="D48" s="4" t="s">
        <v>874</v>
      </c>
    </row>
    <row r="49">
      <c r="A49" s="4" t="s">
        <v>938</v>
      </c>
      <c r="B49" s="4" t="s">
        <v>942</v>
      </c>
      <c r="C49" s="4" t="s">
        <v>339</v>
      </c>
      <c r="D49" s="4" t="s">
        <v>958</v>
      </c>
    </row>
    <row r="50">
      <c r="A50" s="4" t="s">
        <v>959</v>
      </c>
      <c r="B50" s="4" t="s">
        <v>942</v>
      </c>
      <c r="C50" s="4" t="s">
        <v>339</v>
      </c>
      <c r="D50" s="4" t="s">
        <v>894</v>
      </c>
    </row>
    <row r="51">
      <c r="A51" s="4" t="s">
        <v>960</v>
      </c>
      <c r="B51" s="4" t="s">
        <v>942</v>
      </c>
      <c r="C51" s="4" t="s">
        <v>339</v>
      </c>
      <c r="D51" s="4" t="s">
        <v>943</v>
      </c>
    </row>
    <row r="52">
      <c r="A52" s="4" t="s">
        <v>961</v>
      </c>
      <c r="B52" s="4" t="s">
        <v>942</v>
      </c>
      <c r="C52" s="4" t="s">
        <v>339</v>
      </c>
      <c r="D52" s="4" t="s">
        <v>940</v>
      </c>
    </row>
    <row r="53">
      <c r="A53" s="4" t="s">
        <v>962</v>
      </c>
      <c r="B53" s="4" t="s">
        <v>942</v>
      </c>
      <c r="C53" s="4" t="s">
        <v>339</v>
      </c>
      <c r="D53" s="4" t="s">
        <v>892</v>
      </c>
    </row>
    <row r="54">
      <c r="A54" s="4" t="s">
        <v>963</v>
      </c>
      <c r="B54" s="4" t="s">
        <v>942</v>
      </c>
      <c r="C54" s="4" t="s">
        <v>339</v>
      </c>
      <c r="D54" s="4" t="s">
        <v>964</v>
      </c>
    </row>
    <row r="55">
      <c r="A55" s="4" t="s">
        <v>965</v>
      </c>
      <c r="B55" s="4" t="s">
        <v>942</v>
      </c>
      <c r="C55" s="4" t="s">
        <v>339</v>
      </c>
      <c r="D55" s="4" t="s">
        <v>966</v>
      </c>
    </row>
    <row r="56">
      <c r="A56" s="4" t="s">
        <v>967</v>
      </c>
      <c r="B56" s="14" t="s">
        <v>968</v>
      </c>
      <c r="C56" s="4" t="s">
        <v>339</v>
      </c>
      <c r="D56" s="4" t="s">
        <v>932</v>
      </c>
    </row>
    <row r="57">
      <c r="A57" s="4" t="s">
        <v>969</v>
      </c>
      <c r="B57" s="4" t="s">
        <v>942</v>
      </c>
      <c r="C57" s="4" t="s">
        <v>339</v>
      </c>
      <c r="D57" s="4" t="s">
        <v>970</v>
      </c>
    </row>
    <row r="58">
      <c r="A58" s="4" t="s">
        <v>971</v>
      </c>
      <c r="B58" s="4" t="s">
        <v>942</v>
      </c>
      <c r="C58" s="4" t="s">
        <v>339</v>
      </c>
      <c r="D58" s="4" t="s">
        <v>906</v>
      </c>
    </row>
    <row r="59">
      <c r="A59" s="4" t="s">
        <v>972</v>
      </c>
      <c r="B59" s="14" t="s">
        <v>973</v>
      </c>
      <c r="C59" s="4" t="s">
        <v>339</v>
      </c>
      <c r="D59" s="4" t="s">
        <v>974</v>
      </c>
    </row>
    <row r="60">
      <c r="A60" s="4" t="s">
        <v>975</v>
      </c>
      <c r="B60" s="14" t="s">
        <v>976</v>
      </c>
      <c r="C60" s="4" t="s">
        <v>339</v>
      </c>
      <c r="D60" s="4" t="s">
        <v>977</v>
      </c>
    </row>
    <row r="61">
      <c r="A61" s="15"/>
      <c r="B61" s="15"/>
      <c r="C61" s="4"/>
      <c r="D61" s="4"/>
    </row>
    <row r="62">
      <c r="A62" s="4" t="s">
        <v>978</v>
      </c>
      <c r="B62" s="4" t="s">
        <v>979</v>
      </c>
      <c r="C62" s="4"/>
      <c r="D62" s="4"/>
    </row>
    <row r="63">
      <c r="A63" s="4" t="s">
        <v>980</v>
      </c>
      <c r="B63" s="4" t="s">
        <v>409</v>
      </c>
      <c r="C63" s="4"/>
      <c r="D63" s="4"/>
    </row>
    <row r="64">
      <c r="A64" s="4" t="s">
        <v>981</v>
      </c>
      <c r="B64" s="4" t="s">
        <v>982</v>
      </c>
      <c r="C64" s="4"/>
      <c r="D64" s="4"/>
    </row>
    <row r="65">
      <c r="A65" s="4" t="s">
        <v>983</v>
      </c>
      <c r="B65" s="4" t="s">
        <v>984</v>
      </c>
      <c r="C65" s="4"/>
      <c r="D65" s="4"/>
    </row>
    <row r="66">
      <c r="A66" s="4" t="s">
        <v>985</v>
      </c>
      <c r="B66" s="4" t="s">
        <v>986</v>
      </c>
      <c r="C66" s="4"/>
      <c r="D66" s="4"/>
    </row>
    <row r="67">
      <c r="A67" s="4" t="s">
        <v>987</v>
      </c>
      <c r="B67" s="4" t="s">
        <v>988</v>
      </c>
      <c r="C67" s="4"/>
      <c r="D67" s="4"/>
    </row>
    <row r="68">
      <c r="A68" s="4" t="s">
        <v>989</v>
      </c>
      <c r="B68" s="4" t="s">
        <v>990</v>
      </c>
      <c r="C68" s="4"/>
      <c r="D68" s="4"/>
    </row>
    <row r="69">
      <c r="A69" s="4" t="s">
        <v>991</v>
      </c>
      <c r="B69" s="4" t="s">
        <v>992</v>
      </c>
      <c r="C69" s="4"/>
      <c r="D69" s="4"/>
    </row>
    <row r="70">
      <c r="A70" s="4" t="s">
        <v>993</v>
      </c>
      <c r="B70" s="4" t="s">
        <v>994</v>
      </c>
      <c r="C70" s="4"/>
      <c r="D70" s="4"/>
    </row>
    <row r="71">
      <c r="A71" s="4" t="s">
        <v>995</v>
      </c>
      <c r="B71" s="4" t="s">
        <v>996</v>
      </c>
      <c r="C71" s="4"/>
      <c r="D71" s="4"/>
    </row>
    <row r="72">
      <c r="A72" s="4" t="s">
        <v>997</v>
      </c>
      <c r="B72" s="4" t="s">
        <v>998</v>
      </c>
      <c r="C72" s="4"/>
      <c r="D72" s="4"/>
    </row>
    <row r="73">
      <c r="A73" s="4" t="s">
        <v>999</v>
      </c>
      <c r="B73" s="4" t="s">
        <v>1000</v>
      </c>
      <c r="C73" s="4"/>
      <c r="D73" s="4"/>
    </row>
    <row r="74">
      <c r="A74" s="4" t="s">
        <v>1001</v>
      </c>
      <c r="B74" s="4" t="s">
        <v>979</v>
      </c>
      <c r="C74" s="4"/>
      <c r="D74" s="4"/>
    </row>
    <row r="75">
      <c r="A75" s="4" t="s">
        <v>1002</v>
      </c>
      <c r="B75" s="4" t="s">
        <v>409</v>
      </c>
      <c r="C75" s="4"/>
      <c r="D75" s="4"/>
    </row>
    <row r="76">
      <c r="A76" s="4" t="s">
        <v>1003</v>
      </c>
      <c r="B76" s="4" t="s">
        <v>1004</v>
      </c>
      <c r="C76" s="4"/>
      <c r="D76" s="4"/>
    </row>
    <row r="77">
      <c r="A77" s="4" t="s">
        <v>1005</v>
      </c>
      <c r="B77" s="4" t="s">
        <v>988</v>
      </c>
      <c r="C77" s="4"/>
      <c r="D77" s="4"/>
    </row>
    <row r="78">
      <c r="A78" s="4" t="s">
        <v>1006</v>
      </c>
      <c r="B78" s="4" t="s">
        <v>986</v>
      </c>
      <c r="C78" s="4"/>
      <c r="D78" s="4"/>
    </row>
    <row r="79">
      <c r="A79" s="4" t="s">
        <v>1007</v>
      </c>
      <c r="B79" s="4" t="s">
        <v>992</v>
      </c>
      <c r="C79" s="4"/>
      <c r="D79" s="4"/>
    </row>
    <row r="80">
      <c r="A80" s="4" t="s">
        <v>1008</v>
      </c>
      <c r="B80" s="4" t="s">
        <v>990</v>
      </c>
      <c r="C80" s="4"/>
      <c r="D80" s="4"/>
    </row>
    <row r="81">
      <c r="A81" s="4" t="s">
        <v>1009</v>
      </c>
      <c r="B81" s="4" t="s">
        <v>1000</v>
      </c>
      <c r="C81" s="4"/>
      <c r="D81" s="4"/>
    </row>
    <row r="82">
      <c r="A82" s="4" t="s">
        <v>1010</v>
      </c>
      <c r="B82" s="4" t="s">
        <v>979</v>
      </c>
      <c r="C82" s="4"/>
      <c r="D82" s="4"/>
    </row>
    <row r="83">
      <c r="A83" s="4" t="s">
        <v>1011</v>
      </c>
      <c r="B83" s="4" t="s">
        <v>409</v>
      </c>
      <c r="C83" s="4"/>
      <c r="D83" s="4"/>
    </row>
    <row r="84">
      <c r="A84" s="4" t="s">
        <v>1012</v>
      </c>
      <c r="B84" s="4" t="s">
        <v>984</v>
      </c>
      <c r="C84" s="4"/>
      <c r="D84" s="4"/>
    </row>
    <row r="85">
      <c r="A85" s="4" t="s">
        <v>1013</v>
      </c>
      <c r="B85" s="4" t="s">
        <v>982</v>
      </c>
      <c r="C85" s="4"/>
      <c r="D85" s="4"/>
    </row>
    <row r="86">
      <c r="A86" s="4" t="s">
        <v>1014</v>
      </c>
      <c r="B86" s="4" t="s">
        <v>994</v>
      </c>
      <c r="C86" s="4"/>
      <c r="D86" s="4"/>
    </row>
    <row r="87">
      <c r="A87" s="4" t="s">
        <v>1015</v>
      </c>
      <c r="B87" s="4" t="s">
        <v>998</v>
      </c>
      <c r="C87" s="4"/>
      <c r="D87" s="4"/>
    </row>
    <row r="88">
      <c r="A88" s="4" t="s">
        <v>1016</v>
      </c>
      <c r="B88" s="4" t="s">
        <v>992</v>
      </c>
      <c r="C88" s="4"/>
      <c r="D88" s="4"/>
    </row>
    <row r="89">
      <c r="A89" s="4" t="s">
        <v>1017</v>
      </c>
      <c r="B89" s="4" t="s">
        <v>979</v>
      </c>
      <c r="C89" s="4"/>
      <c r="D89" s="4"/>
    </row>
    <row r="90">
      <c r="A90" s="8" t="s">
        <v>1018</v>
      </c>
      <c r="B90" s="4" t="s">
        <v>409</v>
      </c>
      <c r="C90" s="4"/>
      <c r="D90" s="4"/>
    </row>
    <row r="91">
      <c r="A91" s="4" t="s">
        <v>1019</v>
      </c>
      <c r="B91" s="14" t="s">
        <v>1020</v>
      </c>
      <c r="C91" s="4" t="s">
        <v>339</v>
      </c>
      <c r="D91" s="4" t="s">
        <v>1021</v>
      </c>
    </row>
    <row r="92">
      <c r="A92" s="4" t="s">
        <v>1022</v>
      </c>
      <c r="B92" s="14" t="s">
        <v>1023</v>
      </c>
      <c r="C92" s="4" t="s">
        <v>339</v>
      </c>
      <c r="D92" s="4" t="s">
        <v>923</v>
      </c>
    </row>
    <row r="93">
      <c r="A93" s="4" t="s">
        <v>1024</v>
      </c>
      <c r="B93" s="14" t="s">
        <v>1025</v>
      </c>
      <c r="C93" s="4" t="s">
        <v>339</v>
      </c>
      <c r="D93" s="4" t="s">
        <v>926</v>
      </c>
    </row>
    <row r="94">
      <c r="A94" s="4" t="s">
        <v>1026</v>
      </c>
      <c r="B94" s="14" t="s">
        <v>1027</v>
      </c>
      <c r="C94" s="4" t="s">
        <v>339</v>
      </c>
      <c r="D94" s="4" t="s">
        <v>929</v>
      </c>
    </row>
    <row r="95">
      <c r="A95" s="4" t="s">
        <v>1028</v>
      </c>
      <c r="B95" s="14" t="s">
        <v>1029</v>
      </c>
      <c r="C95" s="4" t="s">
        <v>339</v>
      </c>
      <c r="D95" s="4" t="s">
        <v>932</v>
      </c>
    </row>
    <row r="96">
      <c r="A96" s="4" t="s">
        <v>1030</v>
      </c>
      <c r="B96" s="14" t="s">
        <v>1031</v>
      </c>
      <c r="C96" s="4" t="s">
        <v>339</v>
      </c>
      <c r="D96" s="4" t="s">
        <v>894</v>
      </c>
    </row>
    <row r="97">
      <c r="A97" s="4" t="s">
        <v>1032</v>
      </c>
      <c r="B97" s="14" t="s">
        <v>1033</v>
      </c>
      <c r="C97" s="4" t="s">
        <v>339</v>
      </c>
      <c r="D97" s="4" t="s">
        <v>937</v>
      </c>
    </row>
    <row r="98">
      <c r="A98" s="4" t="s">
        <v>1034</v>
      </c>
      <c r="B98" s="14" t="s">
        <v>1035</v>
      </c>
      <c r="C98" s="4" t="s">
        <v>339</v>
      </c>
      <c r="D98" s="4" t="s">
        <v>940</v>
      </c>
    </row>
    <row r="99">
      <c r="A99" s="4" t="s">
        <v>1036</v>
      </c>
      <c r="B99" s="14" t="s">
        <v>1037</v>
      </c>
      <c r="C99" s="4" t="s">
        <v>339</v>
      </c>
      <c r="D99" s="4" t="s">
        <v>943</v>
      </c>
    </row>
    <row r="100">
      <c r="A100" s="4" t="s">
        <v>1038</v>
      </c>
      <c r="B100" s="14" t="s">
        <v>1039</v>
      </c>
      <c r="C100" s="4" t="s">
        <v>339</v>
      </c>
      <c r="D100" s="4" t="s">
        <v>945</v>
      </c>
    </row>
    <row r="101">
      <c r="A101" s="4" t="s">
        <v>1040</v>
      </c>
      <c r="B101" s="14" t="s">
        <v>1041</v>
      </c>
      <c r="C101" s="4" t="s">
        <v>339</v>
      </c>
      <c r="D101" s="4" t="s">
        <v>1042</v>
      </c>
    </row>
    <row r="102">
      <c r="A102" s="4" t="s">
        <v>1043</v>
      </c>
      <c r="B102" s="14" t="s">
        <v>1044</v>
      </c>
      <c r="C102" s="4" t="s">
        <v>339</v>
      </c>
      <c r="D102" s="4" t="s">
        <v>974</v>
      </c>
    </row>
    <row r="103">
      <c r="A103" s="4" t="s">
        <v>1045</v>
      </c>
      <c r="B103" s="14" t="s">
        <v>1046</v>
      </c>
      <c r="C103" s="4" t="s">
        <v>339</v>
      </c>
      <c r="D103" s="4" t="s">
        <v>892</v>
      </c>
    </row>
    <row r="104">
      <c r="A104" s="4" t="s">
        <v>1047</v>
      </c>
      <c r="B104" s="14" t="s">
        <v>1048</v>
      </c>
      <c r="C104" s="4" t="s">
        <v>339</v>
      </c>
      <c r="D104" s="4" t="s">
        <v>964</v>
      </c>
    </row>
    <row r="105">
      <c r="A105" s="4" t="s">
        <v>972</v>
      </c>
      <c r="B105" s="14" t="s">
        <v>1049</v>
      </c>
      <c r="C105" s="4" t="s">
        <v>339</v>
      </c>
      <c r="D105" s="4" t="s">
        <v>955</v>
      </c>
    </row>
    <row r="106">
      <c r="A106" s="4" t="s">
        <v>1050</v>
      </c>
      <c r="B106" s="14" t="s">
        <v>1051</v>
      </c>
      <c r="C106" s="4" t="s">
        <v>339</v>
      </c>
      <c r="D106" s="4" t="s">
        <v>874</v>
      </c>
    </row>
    <row r="107">
      <c r="A107" s="4" t="s">
        <v>1052</v>
      </c>
      <c r="B107" s="14" t="s">
        <v>1053</v>
      </c>
      <c r="C107" s="4" t="s">
        <v>339</v>
      </c>
      <c r="D107" s="4" t="s">
        <v>958</v>
      </c>
    </row>
    <row r="108">
      <c r="A108" s="4" t="s">
        <v>1054</v>
      </c>
      <c r="B108" s="14" t="s">
        <v>1055</v>
      </c>
      <c r="C108" s="4" t="s">
        <v>339</v>
      </c>
      <c r="D108" s="4" t="s">
        <v>894</v>
      </c>
    </row>
    <row r="109">
      <c r="A109" s="4" t="s">
        <v>1026</v>
      </c>
      <c r="B109" s="14" t="s">
        <v>1056</v>
      </c>
      <c r="C109" s="4" t="s">
        <v>339</v>
      </c>
      <c r="D109" s="4" t="s">
        <v>943</v>
      </c>
    </row>
    <row r="110">
      <c r="A110" s="4" t="s">
        <v>1028</v>
      </c>
      <c r="B110" s="14" t="s">
        <v>1057</v>
      </c>
      <c r="C110" s="4" t="s">
        <v>339</v>
      </c>
      <c r="D110" s="4" t="s">
        <v>940</v>
      </c>
    </row>
    <row r="111">
      <c r="A111" s="4" t="s">
        <v>1030</v>
      </c>
      <c r="B111" s="14" t="s">
        <v>1058</v>
      </c>
      <c r="C111" s="4" t="s">
        <v>339</v>
      </c>
      <c r="D111" s="4" t="s">
        <v>892</v>
      </c>
    </row>
    <row r="112">
      <c r="A112" s="4" t="s">
        <v>1032</v>
      </c>
      <c r="B112" s="14" t="s">
        <v>1059</v>
      </c>
      <c r="C112" s="4" t="s">
        <v>339</v>
      </c>
      <c r="D112" s="4" t="s">
        <v>964</v>
      </c>
    </row>
    <row r="113">
      <c r="A113" s="4" t="s">
        <v>1034</v>
      </c>
      <c r="B113" s="14" t="s">
        <v>1060</v>
      </c>
      <c r="C113" s="4" t="s">
        <v>339</v>
      </c>
      <c r="D113" s="4" t="s">
        <v>966</v>
      </c>
    </row>
    <row r="114">
      <c r="A114" s="4" t="s">
        <v>1036</v>
      </c>
      <c r="B114" s="14" t="s">
        <v>1061</v>
      </c>
      <c r="C114" s="4" t="s">
        <v>339</v>
      </c>
      <c r="D114" s="4" t="s">
        <v>932</v>
      </c>
    </row>
    <row r="115">
      <c r="A115" s="4" t="s">
        <v>1038</v>
      </c>
      <c r="B115" s="14" t="s">
        <v>1062</v>
      </c>
      <c r="C115" s="4" t="s">
        <v>339</v>
      </c>
      <c r="D115" s="4" t="s">
        <v>970</v>
      </c>
    </row>
    <row r="116">
      <c r="A116" s="4" t="s">
        <v>1040</v>
      </c>
      <c r="B116" s="14" t="s">
        <v>888</v>
      </c>
      <c r="C116" s="4" t="s">
        <v>339</v>
      </c>
      <c r="D116" s="4" t="s">
        <v>906</v>
      </c>
    </row>
    <row r="117">
      <c r="A117" s="4" t="s">
        <v>1043</v>
      </c>
      <c r="B117" s="14" t="s">
        <v>1063</v>
      </c>
      <c r="C117" s="4" t="s">
        <v>339</v>
      </c>
      <c r="D117" s="4" t="s">
        <v>974</v>
      </c>
    </row>
    <row r="118">
      <c r="A118" s="4" t="s">
        <v>1045</v>
      </c>
      <c r="B118" s="14" t="s">
        <v>1064</v>
      </c>
      <c r="C118" s="4" t="s">
        <v>339</v>
      </c>
      <c r="D118" s="4" t="s">
        <v>943</v>
      </c>
    </row>
    <row r="119">
      <c r="A119" s="4" t="s">
        <v>1047</v>
      </c>
      <c r="B119" s="14" t="s">
        <v>1065</v>
      </c>
      <c r="C119" s="4" t="s">
        <v>339</v>
      </c>
      <c r="D119" s="4" t="s">
        <v>964</v>
      </c>
    </row>
    <row r="120">
      <c r="A120" s="4" t="s">
        <v>972</v>
      </c>
      <c r="B120" s="14" t="s">
        <v>1066</v>
      </c>
      <c r="C120" s="4" t="s">
        <v>339</v>
      </c>
      <c r="D120" s="4" t="s">
        <v>955</v>
      </c>
    </row>
    <row r="121">
      <c r="A121" s="5"/>
      <c r="B121" s="5"/>
      <c r="C121" s="5"/>
      <c r="D121" s="5"/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4"/>
    <hyperlink r:id="rId41" ref="B46"/>
    <hyperlink r:id="rId42" ref="B48"/>
    <hyperlink r:id="rId43" ref="B56"/>
    <hyperlink r:id="rId44" ref="B59"/>
    <hyperlink r:id="rId45" ref="B60"/>
    <hyperlink r:id="rId46" ref="A90"/>
    <hyperlink r:id="rId47" ref="B91"/>
    <hyperlink r:id="rId48" ref="B92"/>
    <hyperlink r:id="rId49" ref="B93"/>
    <hyperlink r:id="rId50" ref="B94"/>
    <hyperlink r:id="rId51" ref="B95"/>
    <hyperlink r:id="rId52" ref="B96"/>
    <hyperlink r:id="rId53" ref="B97"/>
    <hyperlink r:id="rId54" ref="B98"/>
    <hyperlink r:id="rId55" ref="B99"/>
    <hyperlink r:id="rId56" ref="B100"/>
    <hyperlink r:id="rId57" ref="B101"/>
    <hyperlink r:id="rId58" ref="B102"/>
    <hyperlink r:id="rId59" ref="B103"/>
    <hyperlink r:id="rId60" ref="B104"/>
    <hyperlink r:id="rId61" ref="B105"/>
    <hyperlink r:id="rId62" ref="B106"/>
    <hyperlink r:id="rId63" ref="B107"/>
    <hyperlink r:id="rId64" ref="B108"/>
    <hyperlink r:id="rId65" ref="B109"/>
    <hyperlink r:id="rId66" ref="B110"/>
    <hyperlink r:id="rId67" ref="B111"/>
    <hyperlink r:id="rId68" ref="B112"/>
    <hyperlink r:id="rId69" ref="B113"/>
    <hyperlink r:id="rId70" ref="B114"/>
    <hyperlink r:id="rId71" ref="B115"/>
    <hyperlink r:id="rId72" ref="B116"/>
    <hyperlink r:id="rId73" ref="B117"/>
    <hyperlink r:id="rId74" ref="B118"/>
    <hyperlink r:id="rId75" ref="B119"/>
    <hyperlink r:id="rId76" ref="B120"/>
  </hyperlinks>
  <drawing r:id="rId7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1067</v>
      </c>
      <c r="B1" s="4" t="s">
        <v>1068</v>
      </c>
      <c r="C1" s="4" t="s">
        <v>329</v>
      </c>
      <c r="D1" s="4" t="s">
        <v>1069</v>
      </c>
    </row>
    <row r="2">
      <c r="A2" s="4" t="s">
        <v>1070</v>
      </c>
      <c r="B2" s="14" t="s">
        <v>1071</v>
      </c>
      <c r="C2" s="4" t="s">
        <v>329</v>
      </c>
      <c r="D2" s="4" t="s">
        <v>1072</v>
      </c>
    </row>
    <row r="3">
      <c r="A3" s="4" t="s">
        <v>1073</v>
      </c>
      <c r="B3" s="14" t="s">
        <v>1074</v>
      </c>
      <c r="C3" s="4" t="s">
        <v>329</v>
      </c>
      <c r="D3" s="4" t="s">
        <v>1075</v>
      </c>
    </row>
    <row r="4">
      <c r="A4" s="4" t="s">
        <v>1076</v>
      </c>
      <c r="B4" s="14" t="s">
        <v>731</v>
      </c>
      <c r="C4" s="4" t="s">
        <v>329</v>
      </c>
      <c r="D4" s="4" t="s">
        <v>1077</v>
      </c>
    </row>
    <row r="5">
      <c r="A5" s="4" t="s">
        <v>1078</v>
      </c>
      <c r="B5" s="14" t="s">
        <v>1079</v>
      </c>
      <c r="C5" s="4" t="s">
        <v>329</v>
      </c>
      <c r="D5" s="4" t="s">
        <v>769</v>
      </c>
    </row>
    <row r="6">
      <c r="A6" s="4" t="s">
        <v>736</v>
      </c>
      <c r="B6" s="14" t="s">
        <v>737</v>
      </c>
      <c r="C6" s="4" t="s">
        <v>329</v>
      </c>
      <c r="D6" s="4" t="s">
        <v>738</v>
      </c>
    </row>
    <row r="7">
      <c r="A7" s="4" t="s">
        <v>739</v>
      </c>
      <c r="B7" s="14" t="s">
        <v>740</v>
      </c>
      <c r="C7" s="4" t="s">
        <v>329</v>
      </c>
      <c r="D7" s="4" t="s">
        <v>741</v>
      </c>
    </row>
    <row r="8">
      <c r="A8" s="4" t="s">
        <v>742</v>
      </c>
      <c r="B8" s="14" t="s">
        <v>743</v>
      </c>
      <c r="C8" s="4" t="s">
        <v>329</v>
      </c>
      <c r="D8" s="4" t="s">
        <v>744</v>
      </c>
    </row>
    <row r="9">
      <c r="A9" s="4" t="s">
        <v>745</v>
      </c>
      <c r="B9" s="14" t="s">
        <v>746</v>
      </c>
      <c r="C9" s="4" t="s">
        <v>329</v>
      </c>
      <c r="D9" s="4" t="s">
        <v>747</v>
      </c>
    </row>
    <row r="10">
      <c r="A10" s="4" t="s">
        <v>748</v>
      </c>
      <c r="B10" s="14" t="s">
        <v>414</v>
      </c>
      <c r="C10" s="4" t="s">
        <v>329</v>
      </c>
      <c r="D10" s="4" t="s">
        <v>749</v>
      </c>
    </row>
    <row r="11">
      <c r="A11" s="4" t="s">
        <v>750</v>
      </c>
      <c r="B11" s="14" t="s">
        <v>751</v>
      </c>
      <c r="C11" s="4" t="s">
        <v>339</v>
      </c>
      <c r="D11" s="4" t="s">
        <v>752</v>
      </c>
    </row>
    <row r="12">
      <c r="A12" s="4" t="s">
        <v>753</v>
      </c>
      <c r="B12" s="14" t="s">
        <v>754</v>
      </c>
      <c r="C12" s="4" t="s">
        <v>329</v>
      </c>
      <c r="D12" s="4" t="s">
        <v>755</v>
      </c>
    </row>
    <row r="13">
      <c r="A13" s="4" t="s">
        <v>756</v>
      </c>
      <c r="B13" s="14" t="s">
        <v>757</v>
      </c>
      <c r="C13" s="4" t="s">
        <v>329</v>
      </c>
      <c r="D13" s="4" t="s">
        <v>735</v>
      </c>
    </row>
    <row r="14">
      <c r="A14" s="4" t="s">
        <v>758</v>
      </c>
      <c r="B14" s="14" t="s">
        <v>759</v>
      </c>
      <c r="C14" s="4" t="s">
        <v>329</v>
      </c>
      <c r="D14" s="4" t="s">
        <v>760</v>
      </c>
    </row>
    <row r="15">
      <c r="A15" s="4" t="s">
        <v>761</v>
      </c>
      <c r="B15" s="14" t="s">
        <v>762</v>
      </c>
      <c r="C15" s="4" t="s">
        <v>339</v>
      </c>
      <c r="D15" s="4" t="s">
        <v>763</v>
      </c>
    </row>
    <row r="16">
      <c r="A16" s="4" t="s">
        <v>764</v>
      </c>
      <c r="B16" s="14" t="s">
        <v>765</v>
      </c>
      <c r="C16" s="4" t="s">
        <v>329</v>
      </c>
      <c r="D16" s="4" t="s">
        <v>766</v>
      </c>
    </row>
    <row r="17">
      <c r="A17" s="4" t="s">
        <v>767</v>
      </c>
      <c r="B17" s="14" t="s">
        <v>768</v>
      </c>
      <c r="C17" s="4" t="s">
        <v>329</v>
      </c>
      <c r="D17" s="4" t="s">
        <v>769</v>
      </c>
    </row>
    <row r="18">
      <c r="A18" s="4" t="s">
        <v>770</v>
      </c>
      <c r="B18" s="14" t="s">
        <v>771</v>
      </c>
      <c r="C18" s="4" t="s">
        <v>329</v>
      </c>
      <c r="D18" s="4" t="s">
        <v>772</v>
      </c>
    </row>
    <row r="19">
      <c r="A19" s="4" t="s">
        <v>773</v>
      </c>
      <c r="B19" s="14" t="s">
        <v>774</v>
      </c>
      <c r="C19" s="4" t="s">
        <v>329</v>
      </c>
      <c r="D19" s="4" t="s">
        <v>775</v>
      </c>
    </row>
    <row r="20">
      <c r="A20" s="4" t="s">
        <v>776</v>
      </c>
      <c r="B20" s="14" t="s">
        <v>777</v>
      </c>
      <c r="C20" s="4" t="s">
        <v>329</v>
      </c>
      <c r="D20" s="4" t="s">
        <v>778</v>
      </c>
    </row>
    <row r="21">
      <c r="A21" s="4" t="s">
        <v>779</v>
      </c>
      <c r="B21" s="14" t="s">
        <v>780</v>
      </c>
      <c r="C21" s="4" t="s">
        <v>329</v>
      </c>
      <c r="D21" s="4" t="s">
        <v>781</v>
      </c>
    </row>
    <row r="22">
      <c r="A22" s="4" t="s">
        <v>782</v>
      </c>
      <c r="B22" s="14" t="s">
        <v>783</v>
      </c>
      <c r="C22" s="4" t="s">
        <v>329</v>
      </c>
      <c r="D22" s="4" t="s">
        <v>784</v>
      </c>
    </row>
    <row r="23">
      <c r="A23" s="4" t="s">
        <v>785</v>
      </c>
      <c r="B23" s="14" t="s">
        <v>786</v>
      </c>
      <c r="C23" s="4" t="s">
        <v>339</v>
      </c>
      <c r="D23" s="4" t="s">
        <v>787</v>
      </c>
    </row>
    <row r="24">
      <c r="A24" s="4" t="s">
        <v>788</v>
      </c>
      <c r="B24" s="14" t="s">
        <v>789</v>
      </c>
      <c r="C24" s="4" t="s">
        <v>329</v>
      </c>
      <c r="D24" s="4" t="s">
        <v>790</v>
      </c>
    </row>
    <row r="25">
      <c r="A25" s="4" t="s">
        <v>791</v>
      </c>
      <c r="B25" s="14" t="s">
        <v>792</v>
      </c>
      <c r="C25" s="4" t="s">
        <v>329</v>
      </c>
      <c r="D25" s="4" t="s">
        <v>793</v>
      </c>
    </row>
    <row r="26">
      <c r="A26" s="4" t="s">
        <v>794</v>
      </c>
      <c r="B26" s="14" t="s">
        <v>795</v>
      </c>
      <c r="C26" s="4" t="s">
        <v>329</v>
      </c>
      <c r="D26" s="4" t="s">
        <v>796</v>
      </c>
    </row>
    <row r="27">
      <c r="A27" s="4" t="s">
        <v>797</v>
      </c>
      <c r="B27" s="14" t="s">
        <v>798</v>
      </c>
      <c r="C27" s="4" t="s">
        <v>339</v>
      </c>
      <c r="D27" s="4" t="s">
        <v>799</v>
      </c>
    </row>
    <row r="28">
      <c r="A28" s="4" t="s">
        <v>800</v>
      </c>
      <c r="B28" s="14" t="s">
        <v>801</v>
      </c>
      <c r="C28" s="4" t="s">
        <v>339</v>
      </c>
      <c r="D28" s="4" t="s">
        <v>802</v>
      </c>
    </row>
    <row r="29">
      <c r="A29" s="4" t="s">
        <v>803</v>
      </c>
      <c r="B29" s="14" t="s">
        <v>804</v>
      </c>
      <c r="C29" s="4" t="s">
        <v>329</v>
      </c>
      <c r="D29" s="4" t="s">
        <v>805</v>
      </c>
    </row>
    <row r="30">
      <c r="A30" s="8" t="s">
        <v>806</v>
      </c>
      <c r="B30" s="14" t="s">
        <v>807</v>
      </c>
      <c r="C30" s="4" t="s">
        <v>329</v>
      </c>
      <c r="D30" s="4" t="s">
        <v>808</v>
      </c>
    </row>
    <row r="31">
      <c r="A31" s="4" t="s">
        <v>767</v>
      </c>
      <c r="B31" s="14" t="s">
        <v>768</v>
      </c>
      <c r="C31" s="4" t="s">
        <v>329</v>
      </c>
      <c r="D31" s="4" t="s">
        <v>769</v>
      </c>
    </row>
    <row r="32">
      <c r="A32" s="4" t="s">
        <v>770</v>
      </c>
      <c r="B32" s="14" t="s">
        <v>771</v>
      </c>
      <c r="C32" s="4" t="s">
        <v>329</v>
      </c>
      <c r="D32" s="4" t="s">
        <v>772</v>
      </c>
    </row>
    <row r="33">
      <c r="A33" s="4" t="s">
        <v>773</v>
      </c>
      <c r="B33" s="14" t="s">
        <v>774</v>
      </c>
      <c r="C33" s="4" t="s">
        <v>329</v>
      </c>
      <c r="D33" s="4" t="s">
        <v>775</v>
      </c>
    </row>
    <row r="34">
      <c r="A34" s="4" t="s">
        <v>776</v>
      </c>
      <c r="B34" s="14" t="s">
        <v>777</v>
      </c>
      <c r="C34" s="4" t="s">
        <v>329</v>
      </c>
      <c r="D34" s="4" t="s">
        <v>778</v>
      </c>
    </row>
    <row r="35">
      <c r="A35" s="4" t="s">
        <v>779</v>
      </c>
      <c r="B35" s="14" t="s">
        <v>780</v>
      </c>
      <c r="C35" s="4" t="s">
        <v>329</v>
      </c>
      <c r="D35" s="4" t="s">
        <v>781</v>
      </c>
    </row>
    <row r="36">
      <c r="A36" s="4" t="s">
        <v>782</v>
      </c>
      <c r="B36" s="14" t="s">
        <v>783</v>
      </c>
      <c r="C36" s="4" t="s">
        <v>329</v>
      </c>
      <c r="D36" s="4" t="s">
        <v>784</v>
      </c>
    </row>
    <row r="37">
      <c r="A37" s="4" t="s">
        <v>785</v>
      </c>
      <c r="B37" s="14" t="s">
        <v>786</v>
      </c>
      <c r="C37" s="4" t="s">
        <v>339</v>
      </c>
      <c r="D37" s="4" t="s">
        <v>787</v>
      </c>
    </row>
    <row r="38">
      <c r="A38" s="4" t="s">
        <v>788</v>
      </c>
      <c r="B38" s="14" t="s">
        <v>789</v>
      </c>
      <c r="C38" s="4" t="s">
        <v>329</v>
      </c>
      <c r="D38" s="4" t="s">
        <v>790</v>
      </c>
    </row>
    <row r="39">
      <c r="A39" s="4" t="s">
        <v>791</v>
      </c>
      <c r="B39" s="14" t="s">
        <v>792</v>
      </c>
      <c r="C39" s="4" t="s">
        <v>329</v>
      </c>
      <c r="D39" s="4" t="s">
        <v>793</v>
      </c>
    </row>
    <row r="40">
      <c r="A40" s="4" t="s">
        <v>794</v>
      </c>
      <c r="B40" s="14" t="s">
        <v>795</v>
      </c>
      <c r="C40" s="4" t="s">
        <v>329</v>
      </c>
      <c r="D40" s="4" t="s">
        <v>796</v>
      </c>
    </row>
    <row r="41">
      <c r="A41" s="4" t="s">
        <v>797</v>
      </c>
      <c r="B41" s="14" t="s">
        <v>798</v>
      </c>
      <c r="C41" s="4" t="s">
        <v>339</v>
      </c>
      <c r="D41" s="4" t="s">
        <v>799</v>
      </c>
    </row>
    <row r="42">
      <c r="A42" s="4" t="s">
        <v>800</v>
      </c>
      <c r="B42" s="14" t="s">
        <v>801</v>
      </c>
      <c r="C42" s="4" t="s">
        <v>339</v>
      </c>
      <c r="D42" s="4" t="s">
        <v>802</v>
      </c>
    </row>
    <row r="43">
      <c r="A43" s="4" t="s">
        <v>803</v>
      </c>
      <c r="B43" s="14" t="s">
        <v>804</v>
      </c>
      <c r="C43" s="4" t="s">
        <v>329</v>
      </c>
      <c r="D43" s="4" t="s">
        <v>805</v>
      </c>
    </row>
    <row r="44">
      <c r="A44" s="4" t="s">
        <v>806</v>
      </c>
      <c r="B44" s="14" t="s">
        <v>807</v>
      </c>
      <c r="C44" s="4" t="s">
        <v>329</v>
      </c>
      <c r="D44" s="4" t="s">
        <v>808</v>
      </c>
    </row>
    <row r="45">
      <c r="A45" s="4" t="s">
        <v>809</v>
      </c>
      <c r="B45" s="14" t="s">
        <v>810</v>
      </c>
      <c r="C45" s="4" t="s">
        <v>329</v>
      </c>
      <c r="D45" s="4" t="s">
        <v>811</v>
      </c>
    </row>
    <row r="46">
      <c r="A46" s="4" t="s">
        <v>812</v>
      </c>
      <c r="B46" s="14" t="s">
        <v>813</v>
      </c>
      <c r="C46" s="4" t="s">
        <v>329</v>
      </c>
      <c r="D46" s="4" t="s">
        <v>769</v>
      </c>
    </row>
    <row r="47">
      <c r="A47" s="4" t="s">
        <v>814</v>
      </c>
      <c r="B47" s="14" t="s">
        <v>815</v>
      </c>
      <c r="C47" s="4" t="s">
        <v>329</v>
      </c>
      <c r="D47" s="4" t="s">
        <v>816</v>
      </c>
    </row>
    <row r="48">
      <c r="A48" s="4" t="s">
        <v>817</v>
      </c>
      <c r="B48" s="14" t="s">
        <v>818</v>
      </c>
      <c r="C48" s="4" t="s">
        <v>329</v>
      </c>
      <c r="D48" s="4" t="s">
        <v>735</v>
      </c>
    </row>
    <row r="49">
      <c r="A49" s="4" t="s">
        <v>819</v>
      </c>
      <c r="B49" s="14" t="s">
        <v>820</v>
      </c>
      <c r="C49" s="4" t="s">
        <v>329</v>
      </c>
      <c r="D49" s="4" t="s">
        <v>821</v>
      </c>
    </row>
    <row r="50">
      <c r="A50" s="4" t="s">
        <v>822</v>
      </c>
      <c r="B50" s="4" t="s">
        <v>823</v>
      </c>
      <c r="C50" s="4" t="s">
        <v>329</v>
      </c>
      <c r="D50" s="4" t="s">
        <v>824</v>
      </c>
    </row>
    <row r="51">
      <c r="A51" s="5"/>
      <c r="B51" s="5"/>
      <c r="C51" s="5"/>
      <c r="D51" s="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A30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</hyperlinks>
  <drawing r:id="rId5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1080</v>
      </c>
      <c r="B1" s="4" t="s">
        <v>731</v>
      </c>
      <c r="C1" s="4" t="s">
        <v>329</v>
      </c>
      <c r="D1" s="4" t="s">
        <v>1081</v>
      </c>
    </row>
    <row r="2">
      <c r="A2" s="4" t="s">
        <v>1082</v>
      </c>
      <c r="B2" s="4" t="s">
        <v>1083</v>
      </c>
      <c r="C2" s="4" t="s">
        <v>339</v>
      </c>
      <c r="D2" s="4" t="s">
        <v>515</v>
      </c>
    </row>
    <row r="3">
      <c r="A3" s="4" t="s">
        <v>736</v>
      </c>
      <c r="B3" s="4" t="s">
        <v>737</v>
      </c>
      <c r="C3" s="4" t="s">
        <v>329</v>
      </c>
      <c r="D3" s="4" t="s">
        <v>738</v>
      </c>
    </row>
    <row r="4">
      <c r="A4" s="4" t="s">
        <v>739</v>
      </c>
      <c r="B4" s="4" t="s">
        <v>740</v>
      </c>
      <c r="C4" s="4" t="s">
        <v>329</v>
      </c>
      <c r="D4" s="4" t="s">
        <v>741</v>
      </c>
    </row>
    <row r="5">
      <c r="A5" s="4" t="s">
        <v>742</v>
      </c>
      <c r="B5" s="4" t="s">
        <v>743</v>
      </c>
      <c r="C5" s="4" t="s">
        <v>329</v>
      </c>
      <c r="D5" s="4" t="s">
        <v>744</v>
      </c>
    </row>
    <row r="6">
      <c r="A6" s="4" t="s">
        <v>745</v>
      </c>
      <c r="B6" s="4" t="s">
        <v>746</v>
      </c>
      <c r="C6" s="4" t="s">
        <v>329</v>
      </c>
      <c r="D6" s="4" t="s">
        <v>747</v>
      </c>
    </row>
    <row r="7">
      <c r="A7" s="4" t="s">
        <v>748</v>
      </c>
      <c r="B7" s="4" t="s">
        <v>414</v>
      </c>
      <c r="C7" s="4" t="s">
        <v>329</v>
      </c>
      <c r="D7" s="4" t="s">
        <v>749</v>
      </c>
    </row>
    <row r="8">
      <c r="A8" s="4" t="s">
        <v>750</v>
      </c>
      <c r="B8" s="4" t="s">
        <v>751</v>
      </c>
      <c r="C8" s="4" t="s">
        <v>339</v>
      </c>
      <c r="D8" s="4" t="s">
        <v>752</v>
      </c>
    </row>
    <row r="9">
      <c r="A9" s="4" t="s">
        <v>753</v>
      </c>
      <c r="B9" s="4" t="s">
        <v>754</v>
      </c>
      <c r="C9" s="4" t="s">
        <v>329</v>
      </c>
      <c r="D9" s="4" t="s">
        <v>755</v>
      </c>
    </row>
    <row r="10">
      <c r="A10" s="4" t="s">
        <v>756</v>
      </c>
      <c r="B10" s="4" t="s">
        <v>757</v>
      </c>
      <c r="C10" s="4" t="s">
        <v>329</v>
      </c>
      <c r="D10" s="4" t="s">
        <v>735</v>
      </c>
    </row>
    <row r="11">
      <c r="A11" s="4" t="s">
        <v>758</v>
      </c>
      <c r="B11" s="4" t="s">
        <v>759</v>
      </c>
      <c r="C11" s="4" t="s">
        <v>329</v>
      </c>
      <c r="D11" s="4" t="s">
        <v>760</v>
      </c>
    </row>
    <row r="12">
      <c r="A12" s="4" t="s">
        <v>761</v>
      </c>
      <c r="B12" s="4" t="s">
        <v>762</v>
      </c>
      <c r="C12" s="4" t="s">
        <v>339</v>
      </c>
      <c r="D12" s="4" t="s">
        <v>763</v>
      </c>
    </row>
    <row r="13">
      <c r="A13" s="4" t="s">
        <v>764</v>
      </c>
      <c r="B13" s="4" t="s">
        <v>765</v>
      </c>
      <c r="C13" s="4" t="s">
        <v>329</v>
      </c>
      <c r="D13" s="4" t="s">
        <v>766</v>
      </c>
    </row>
    <row r="14">
      <c r="A14" s="4" t="s">
        <v>767</v>
      </c>
      <c r="B14" s="4" t="s">
        <v>768</v>
      </c>
      <c r="C14" s="4" t="s">
        <v>329</v>
      </c>
      <c r="D14" s="4" t="s">
        <v>769</v>
      </c>
    </row>
    <row r="15">
      <c r="A15" s="4" t="s">
        <v>770</v>
      </c>
      <c r="B15" s="4" t="s">
        <v>771</v>
      </c>
      <c r="C15" s="4" t="s">
        <v>329</v>
      </c>
      <c r="D15" s="4" t="s">
        <v>772</v>
      </c>
    </row>
    <row r="16">
      <c r="A16" s="4" t="s">
        <v>773</v>
      </c>
      <c r="B16" s="4" t="s">
        <v>774</v>
      </c>
      <c r="C16" s="4" t="s">
        <v>329</v>
      </c>
      <c r="D16" s="4" t="s">
        <v>775</v>
      </c>
    </row>
    <row r="17">
      <c r="A17" s="4" t="s">
        <v>776</v>
      </c>
      <c r="B17" s="4" t="s">
        <v>777</v>
      </c>
      <c r="C17" s="4" t="s">
        <v>329</v>
      </c>
      <c r="D17" s="4" t="s">
        <v>778</v>
      </c>
    </row>
    <row r="18">
      <c r="A18" s="4" t="s">
        <v>779</v>
      </c>
      <c r="B18" s="4" t="s">
        <v>780</v>
      </c>
      <c r="C18" s="4" t="s">
        <v>329</v>
      </c>
      <c r="D18" s="4" t="s">
        <v>781</v>
      </c>
    </row>
    <row r="19">
      <c r="A19" s="4" t="s">
        <v>782</v>
      </c>
      <c r="B19" s="4" t="s">
        <v>783</v>
      </c>
      <c r="C19" s="4" t="s">
        <v>329</v>
      </c>
      <c r="D19" s="4" t="s">
        <v>784</v>
      </c>
    </row>
    <row r="20">
      <c r="A20" s="4" t="s">
        <v>785</v>
      </c>
      <c r="B20" s="4" t="s">
        <v>786</v>
      </c>
      <c r="C20" s="4" t="s">
        <v>339</v>
      </c>
      <c r="D20" s="4" t="s">
        <v>787</v>
      </c>
    </row>
    <row r="21">
      <c r="A21" s="4" t="s">
        <v>788</v>
      </c>
      <c r="B21" s="4" t="s">
        <v>789</v>
      </c>
      <c r="C21" s="4" t="s">
        <v>329</v>
      </c>
      <c r="D21" s="4" t="s">
        <v>790</v>
      </c>
    </row>
    <row r="22">
      <c r="A22" s="4" t="s">
        <v>791</v>
      </c>
      <c r="B22" s="4" t="s">
        <v>792</v>
      </c>
      <c r="C22" s="4" t="s">
        <v>329</v>
      </c>
      <c r="D22" s="4" t="s">
        <v>793</v>
      </c>
    </row>
    <row r="23">
      <c r="A23" s="4" t="s">
        <v>794</v>
      </c>
      <c r="B23" s="4" t="s">
        <v>795</v>
      </c>
      <c r="C23" s="4" t="s">
        <v>329</v>
      </c>
      <c r="D23" s="4" t="s">
        <v>796</v>
      </c>
    </row>
    <row r="24">
      <c r="A24" s="4" t="s">
        <v>797</v>
      </c>
      <c r="B24" s="4" t="s">
        <v>798</v>
      </c>
      <c r="C24" s="4" t="s">
        <v>339</v>
      </c>
      <c r="D24" s="4" t="s">
        <v>799</v>
      </c>
    </row>
    <row r="25">
      <c r="A25" s="4" t="s">
        <v>800</v>
      </c>
      <c r="B25" s="4" t="s">
        <v>801</v>
      </c>
      <c r="C25" s="4" t="s">
        <v>339</v>
      </c>
      <c r="D25" s="4" t="s">
        <v>802</v>
      </c>
    </row>
    <row r="26">
      <c r="A26" s="4" t="s">
        <v>803</v>
      </c>
      <c r="B26" s="4" t="s">
        <v>804</v>
      </c>
      <c r="C26" s="4" t="s">
        <v>329</v>
      </c>
      <c r="D26" s="4" t="s">
        <v>805</v>
      </c>
    </row>
    <row r="27">
      <c r="A27" s="4" t="s">
        <v>806</v>
      </c>
      <c r="B27" s="4" t="s">
        <v>807</v>
      </c>
      <c r="C27" s="4" t="s">
        <v>329</v>
      </c>
      <c r="D27" s="4" t="s">
        <v>808</v>
      </c>
    </row>
    <row r="28">
      <c r="A28" s="4" t="s">
        <v>809</v>
      </c>
      <c r="B28" s="4" t="s">
        <v>810</v>
      </c>
      <c r="C28" s="4" t="s">
        <v>329</v>
      </c>
      <c r="D28" s="4" t="s">
        <v>811</v>
      </c>
    </row>
    <row r="29">
      <c r="A29" s="4" t="s">
        <v>812</v>
      </c>
      <c r="B29" s="4" t="s">
        <v>813</v>
      </c>
      <c r="C29" s="4" t="s">
        <v>329</v>
      </c>
      <c r="D29" s="4" t="s">
        <v>769</v>
      </c>
    </row>
    <row r="30">
      <c r="A30" s="8" t="s">
        <v>814</v>
      </c>
      <c r="B30" s="4" t="s">
        <v>815</v>
      </c>
      <c r="C30" s="4" t="s">
        <v>329</v>
      </c>
      <c r="D30" s="4" t="s">
        <v>816</v>
      </c>
    </row>
    <row r="31">
      <c r="A31" s="4" t="s">
        <v>1080</v>
      </c>
      <c r="B31" s="4" t="s">
        <v>731</v>
      </c>
      <c r="C31" s="4" t="s">
        <v>329</v>
      </c>
      <c r="D31" s="4" t="s">
        <v>1081</v>
      </c>
    </row>
    <row r="32">
      <c r="A32" s="4" t="s">
        <v>1082</v>
      </c>
      <c r="B32" s="4" t="s">
        <v>1083</v>
      </c>
      <c r="C32" s="4" t="s">
        <v>339</v>
      </c>
      <c r="D32" s="4" t="s">
        <v>515</v>
      </c>
    </row>
    <row r="33">
      <c r="A33" s="4" t="s">
        <v>736</v>
      </c>
      <c r="B33" s="4" t="s">
        <v>737</v>
      </c>
      <c r="C33" s="4" t="s">
        <v>329</v>
      </c>
      <c r="D33" s="4" t="s">
        <v>738</v>
      </c>
    </row>
    <row r="34">
      <c r="A34" s="4" t="s">
        <v>739</v>
      </c>
      <c r="B34" s="4" t="s">
        <v>740</v>
      </c>
      <c r="C34" s="4" t="s">
        <v>329</v>
      </c>
      <c r="D34" s="4" t="s">
        <v>741</v>
      </c>
    </row>
    <row r="35">
      <c r="A35" s="4" t="s">
        <v>742</v>
      </c>
      <c r="B35" s="4" t="s">
        <v>743</v>
      </c>
      <c r="C35" s="4" t="s">
        <v>329</v>
      </c>
      <c r="D35" s="4" t="s">
        <v>744</v>
      </c>
    </row>
    <row r="36">
      <c r="A36" s="4" t="s">
        <v>745</v>
      </c>
      <c r="B36" s="4" t="s">
        <v>746</v>
      </c>
      <c r="C36" s="4" t="s">
        <v>329</v>
      </c>
      <c r="D36" s="4" t="s">
        <v>747</v>
      </c>
    </row>
    <row r="37">
      <c r="A37" s="4" t="s">
        <v>748</v>
      </c>
      <c r="B37" s="4" t="s">
        <v>414</v>
      </c>
      <c r="C37" s="4" t="s">
        <v>329</v>
      </c>
      <c r="D37" s="4" t="s">
        <v>749</v>
      </c>
    </row>
    <row r="38">
      <c r="A38" s="4" t="s">
        <v>750</v>
      </c>
      <c r="B38" s="4" t="s">
        <v>751</v>
      </c>
      <c r="C38" s="4" t="s">
        <v>339</v>
      </c>
      <c r="D38" s="4" t="s">
        <v>752</v>
      </c>
    </row>
    <row r="39">
      <c r="A39" s="4" t="s">
        <v>753</v>
      </c>
      <c r="B39" s="4" t="s">
        <v>754</v>
      </c>
      <c r="C39" s="4" t="s">
        <v>329</v>
      </c>
      <c r="D39" s="4" t="s">
        <v>755</v>
      </c>
    </row>
    <row r="40">
      <c r="A40" s="4" t="s">
        <v>756</v>
      </c>
      <c r="B40" s="4" t="s">
        <v>757</v>
      </c>
      <c r="C40" s="4" t="s">
        <v>329</v>
      </c>
      <c r="D40" s="4" t="s">
        <v>735</v>
      </c>
    </row>
    <row r="41">
      <c r="A41" s="4" t="s">
        <v>758</v>
      </c>
      <c r="B41" s="4" t="s">
        <v>759</v>
      </c>
      <c r="C41" s="4" t="s">
        <v>329</v>
      </c>
      <c r="D41" s="4" t="s">
        <v>760</v>
      </c>
    </row>
    <row r="42">
      <c r="A42" s="4" t="s">
        <v>761</v>
      </c>
      <c r="B42" s="4" t="s">
        <v>762</v>
      </c>
      <c r="C42" s="4" t="s">
        <v>339</v>
      </c>
      <c r="D42" s="4" t="s">
        <v>763</v>
      </c>
    </row>
    <row r="43">
      <c r="A43" s="4" t="s">
        <v>764</v>
      </c>
      <c r="B43" s="4" t="s">
        <v>765</v>
      </c>
      <c r="C43" s="4" t="s">
        <v>329</v>
      </c>
      <c r="D43" s="4" t="s">
        <v>766</v>
      </c>
    </row>
    <row r="44">
      <c r="A44" s="4" t="s">
        <v>767</v>
      </c>
      <c r="B44" s="4" t="s">
        <v>768</v>
      </c>
      <c r="C44" s="4" t="s">
        <v>329</v>
      </c>
      <c r="D44" s="4" t="s">
        <v>769</v>
      </c>
    </row>
    <row r="45">
      <c r="A45" s="4" t="s">
        <v>770</v>
      </c>
      <c r="B45" s="4" t="s">
        <v>771</v>
      </c>
      <c r="C45" s="4" t="s">
        <v>329</v>
      </c>
      <c r="D45" s="4" t="s">
        <v>772</v>
      </c>
    </row>
    <row r="46">
      <c r="A46" s="4" t="s">
        <v>773</v>
      </c>
      <c r="B46" s="4" t="s">
        <v>774</v>
      </c>
      <c r="C46" s="4" t="s">
        <v>329</v>
      </c>
      <c r="D46" s="4" t="s">
        <v>775</v>
      </c>
    </row>
    <row r="47">
      <c r="A47" s="4" t="s">
        <v>776</v>
      </c>
      <c r="B47" s="4" t="s">
        <v>777</v>
      </c>
      <c r="C47" s="4" t="s">
        <v>329</v>
      </c>
      <c r="D47" s="4" t="s">
        <v>778</v>
      </c>
    </row>
    <row r="48">
      <c r="A48" s="4" t="s">
        <v>779</v>
      </c>
      <c r="B48" s="4" t="s">
        <v>780</v>
      </c>
      <c r="C48" s="4" t="s">
        <v>329</v>
      </c>
      <c r="D48" s="4" t="s">
        <v>781</v>
      </c>
    </row>
    <row r="49">
      <c r="A49" s="4" t="s">
        <v>782</v>
      </c>
      <c r="B49" s="4" t="s">
        <v>783</v>
      </c>
      <c r="C49" s="4" t="s">
        <v>329</v>
      </c>
      <c r="D49" s="4" t="s">
        <v>784</v>
      </c>
    </row>
    <row r="50">
      <c r="A50" s="4" t="s">
        <v>785</v>
      </c>
      <c r="B50" s="4" t="s">
        <v>786</v>
      </c>
      <c r="C50" s="4" t="s">
        <v>339</v>
      </c>
      <c r="D50" s="4" t="s">
        <v>787</v>
      </c>
    </row>
    <row r="51">
      <c r="A51" s="4" t="s">
        <v>788</v>
      </c>
      <c r="B51" s="4" t="s">
        <v>789</v>
      </c>
      <c r="C51" s="4" t="s">
        <v>329</v>
      </c>
      <c r="D51" s="4" t="s">
        <v>790</v>
      </c>
    </row>
    <row r="52">
      <c r="A52" s="4" t="s">
        <v>791</v>
      </c>
      <c r="B52" s="4" t="s">
        <v>792</v>
      </c>
      <c r="C52" s="4" t="s">
        <v>329</v>
      </c>
      <c r="D52" s="4" t="s">
        <v>793</v>
      </c>
    </row>
    <row r="53">
      <c r="A53" s="4" t="s">
        <v>794</v>
      </c>
      <c r="B53" s="4" t="s">
        <v>795</v>
      </c>
      <c r="C53" s="4" t="s">
        <v>329</v>
      </c>
      <c r="D53" s="4" t="s">
        <v>796</v>
      </c>
    </row>
    <row r="54">
      <c r="A54" s="4" t="s">
        <v>797</v>
      </c>
      <c r="B54" s="4" t="s">
        <v>798</v>
      </c>
      <c r="C54" s="4" t="s">
        <v>339</v>
      </c>
      <c r="D54" s="4" t="s">
        <v>799</v>
      </c>
    </row>
    <row r="55">
      <c r="A55" s="4" t="s">
        <v>800</v>
      </c>
      <c r="B55" s="4" t="s">
        <v>801</v>
      </c>
      <c r="C55" s="4" t="s">
        <v>339</v>
      </c>
      <c r="D55" s="4" t="s">
        <v>802</v>
      </c>
    </row>
    <row r="56">
      <c r="A56" s="4" t="s">
        <v>803</v>
      </c>
      <c r="B56" s="4" t="s">
        <v>804</v>
      </c>
      <c r="C56" s="4" t="s">
        <v>329</v>
      </c>
      <c r="D56" s="4" t="s">
        <v>805</v>
      </c>
    </row>
    <row r="57">
      <c r="A57" s="4" t="s">
        <v>806</v>
      </c>
      <c r="B57" s="4" t="s">
        <v>807</v>
      </c>
      <c r="C57" s="4" t="s">
        <v>329</v>
      </c>
      <c r="D57" s="4" t="s">
        <v>808</v>
      </c>
    </row>
    <row r="58">
      <c r="A58" s="4" t="s">
        <v>809</v>
      </c>
      <c r="B58" s="4" t="s">
        <v>810</v>
      </c>
      <c r="C58" s="4" t="s">
        <v>329</v>
      </c>
      <c r="D58" s="4" t="s">
        <v>811</v>
      </c>
    </row>
    <row r="59">
      <c r="A59" s="4" t="s">
        <v>812</v>
      </c>
      <c r="B59" s="4" t="s">
        <v>813</v>
      </c>
      <c r="C59" s="4" t="s">
        <v>329</v>
      </c>
      <c r="D59" s="4" t="s">
        <v>769</v>
      </c>
    </row>
    <row r="60">
      <c r="A60" s="8" t="s">
        <v>814</v>
      </c>
      <c r="B60" s="4" t="s">
        <v>815</v>
      </c>
      <c r="C60" s="4" t="s">
        <v>329</v>
      </c>
      <c r="D60" s="4" t="s">
        <v>816</v>
      </c>
    </row>
    <row r="61">
      <c r="A61" s="4" t="s">
        <v>767</v>
      </c>
      <c r="B61" s="4" t="s">
        <v>768</v>
      </c>
      <c r="C61" s="4" t="s">
        <v>329</v>
      </c>
      <c r="D61" s="4" t="s">
        <v>769</v>
      </c>
    </row>
    <row r="62">
      <c r="A62" s="4" t="s">
        <v>770</v>
      </c>
      <c r="B62" s="4" t="s">
        <v>771</v>
      </c>
      <c r="C62" s="4" t="s">
        <v>329</v>
      </c>
      <c r="D62" s="4" t="s">
        <v>772</v>
      </c>
    </row>
    <row r="63">
      <c r="A63" s="4" t="s">
        <v>773</v>
      </c>
      <c r="B63" s="4" t="s">
        <v>774</v>
      </c>
      <c r="C63" s="4" t="s">
        <v>329</v>
      </c>
      <c r="D63" s="4" t="s">
        <v>775</v>
      </c>
    </row>
    <row r="64">
      <c r="A64" s="4" t="s">
        <v>776</v>
      </c>
      <c r="B64" s="4" t="s">
        <v>777</v>
      </c>
      <c r="C64" s="4" t="s">
        <v>329</v>
      </c>
      <c r="D64" s="4" t="s">
        <v>778</v>
      </c>
    </row>
    <row r="65">
      <c r="A65" s="4" t="s">
        <v>779</v>
      </c>
      <c r="B65" s="4" t="s">
        <v>780</v>
      </c>
      <c r="C65" s="4" t="s">
        <v>329</v>
      </c>
      <c r="D65" s="4" t="s">
        <v>781</v>
      </c>
    </row>
    <row r="66">
      <c r="A66" s="4" t="s">
        <v>782</v>
      </c>
      <c r="B66" s="4" t="s">
        <v>783</v>
      </c>
      <c r="C66" s="4" t="s">
        <v>329</v>
      </c>
      <c r="D66" s="4" t="s">
        <v>784</v>
      </c>
    </row>
    <row r="67">
      <c r="A67" s="4" t="s">
        <v>785</v>
      </c>
      <c r="B67" s="4" t="s">
        <v>786</v>
      </c>
      <c r="C67" s="4" t="s">
        <v>339</v>
      </c>
      <c r="D67" s="4" t="s">
        <v>787</v>
      </c>
    </row>
    <row r="68">
      <c r="A68" s="4" t="s">
        <v>788</v>
      </c>
      <c r="B68" s="4" t="s">
        <v>789</v>
      </c>
      <c r="C68" s="4" t="s">
        <v>329</v>
      </c>
      <c r="D68" s="4" t="s">
        <v>790</v>
      </c>
    </row>
    <row r="69">
      <c r="A69" s="4" t="s">
        <v>791</v>
      </c>
      <c r="B69" s="4" t="s">
        <v>792</v>
      </c>
      <c r="C69" s="4" t="s">
        <v>329</v>
      </c>
      <c r="D69" s="4" t="s">
        <v>793</v>
      </c>
    </row>
    <row r="70">
      <c r="A70" s="4" t="s">
        <v>794</v>
      </c>
      <c r="B70" s="4" t="s">
        <v>795</v>
      </c>
      <c r="C70" s="4" t="s">
        <v>329</v>
      </c>
      <c r="D70" s="4" t="s">
        <v>796</v>
      </c>
    </row>
    <row r="71">
      <c r="A71" s="4" t="s">
        <v>797</v>
      </c>
      <c r="B71" s="4" t="s">
        <v>798</v>
      </c>
      <c r="C71" s="4" t="s">
        <v>339</v>
      </c>
      <c r="D71" s="4" t="s">
        <v>799</v>
      </c>
    </row>
    <row r="72">
      <c r="A72" s="4" t="s">
        <v>800</v>
      </c>
      <c r="B72" s="4" t="s">
        <v>801</v>
      </c>
      <c r="C72" s="4" t="s">
        <v>339</v>
      </c>
      <c r="D72" s="4" t="s">
        <v>802</v>
      </c>
    </row>
    <row r="73">
      <c r="A73" s="4" t="s">
        <v>803</v>
      </c>
      <c r="B73" s="4" t="s">
        <v>804</v>
      </c>
      <c r="C73" s="4" t="s">
        <v>329</v>
      </c>
      <c r="D73" s="4" t="s">
        <v>805</v>
      </c>
    </row>
    <row r="74">
      <c r="A74" s="4" t="s">
        <v>806</v>
      </c>
      <c r="B74" s="4" t="s">
        <v>807</v>
      </c>
      <c r="C74" s="4" t="s">
        <v>329</v>
      </c>
      <c r="D74" s="4" t="s">
        <v>808</v>
      </c>
    </row>
    <row r="75">
      <c r="A75" s="4" t="s">
        <v>809</v>
      </c>
      <c r="B75" s="4" t="s">
        <v>810</v>
      </c>
      <c r="C75" s="4" t="s">
        <v>329</v>
      </c>
      <c r="D75" s="4" t="s">
        <v>811</v>
      </c>
    </row>
    <row r="76">
      <c r="A76" s="4" t="s">
        <v>812</v>
      </c>
      <c r="B76" s="4" t="s">
        <v>813</v>
      </c>
      <c r="C76" s="4" t="s">
        <v>329</v>
      </c>
      <c r="D76" s="4" t="s">
        <v>769</v>
      </c>
    </row>
    <row r="77">
      <c r="A77" s="4" t="s">
        <v>814</v>
      </c>
      <c r="B77" s="4" t="s">
        <v>815</v>
      </c>
      <c r="C77" s="4" t="s">
        <v>329</v>
      </c>
      <c r="D77" s="4" t="s">
        <v>816</v>
      </c>
    </row>
    <row r="78">
      <c r="A78" s="4" t="s">
        <v>817</v>
      </c>
      <c r="B78" s="4" t="s">
        <v>818</v>
      </c>
      <c r="C78" s="4" t="s">
        <v>329</v>
      </c>
      <c r="D78" s="4" t="s">
        <v>735</v>
      </c>
    </row>
    <row r="79">
      <c r="A79" s="4" t="s">
        <v>819</v>
      </c>
      <c r="B79" s="4" t="s">
        <v>820</v>
      </c>
      <c r="C79" s="4" t="s">
        <v>329</v>
      </c>
      <c r="D79" s="4" t="s">
        <v>821</v>
      </c>
    </row>
    <row r="80">
      <c r="A80" s="4" t="s">
        <v>822</v>
      </c>
      <c r="B80" s="4" t="s">
        <v>823</v>
      </c>
      <c r="C80" s="4" t="s">
        <v>329</v>
      </c>
      <c r="D80" s="4" t="s">
        <v>824</v>
      </c>
    </row>
    <row r="81">
      <c r="A81" s="5"/>
      <c r="B81" s="5"/>
      <c r="C81" s="5"/>
      <c r="D81" s="5"/>
    </row>
  </sheetData>
  <hyperlinks>
    <hyperlink r:id="rId1" ref="A30"/>
    <hyperlink r:id="rId2" ref="A60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1084</v>
      </c>
      <c r="B1" s="4" t="s">
        <v>1085</v>
      </c>
      <c r="C1" s="4" t="s">
        <v>1086</v>
      </c>
      <c r="D1" s="4" t="s">
        <v>1087</v>
      </c>
    </row>
    <row r="2">
      <c r="A2" s="4" t="s">
        <v>1088</v>
      </c>
      <c r="B2" s="4" t="s">
        <v>792</v>
      </c>
      <c r="C2" s="4" t="s">
        <v>339</v>
      </c>
      <c r="D2" s="4" t="s">
        <v>1089</v>
      </c>
    </row>
    <row r="3">
      <c r="A3" s="4" t="s">
        <v>1090</v>
      </c>
      <c r="B3" s="4" t="s">
        <v>807</v>
      </c>
      <c r="C3" s="4" t="s">
        <v>329</v>
      </c>
      <c r="D3" s="4" t="s">
        <v>1091</v>
      </c>
    </row>
    <row r="4">
      <c r="A4" s="4" t="s">
        <v>1092</v>
      </c>
      <c r="B4" s="4" t="s">
        <v>1093</v>
      </c>
      <c r="C4" s="4" t="s">
        <v>329</v>
      </c>
      <c r="D4" s="4" t="s">
        <v>1094</v>
      </c>
    </row>
    <row r="5">
      <c r="A5" s="4" t="s">
        <v>1095</v>
      </c>
      <c r="B5" s="4" t="s">
        <v>795</v>
      </c>
      <c r="C5" s="4" t="s">
        <v>339</v>
      </c>
      <c r="D5" s="4" t="s">
        <v>1096</v>
      </c>
    </row>
    <row r="6">
      <c r="A6" s="4" t="s">
        <v>659</v>
      </c>
      <c r="B6" s="4" t="s">
        <v>1097</v>
      </c>
      <c r="C6" s="4" t="s">
        <v>329</v>
      </c>
      <c r="D6" s="4" t="s">
        <v>1098</v>
      </c>
    </row>
    <row r="7">
      <c r="A7" s="4" t="s">
        <v>1099</v>
      </c>
      <c r="B7" s="4" t="s">
        <v>1100</v>
      </c>
      <c r="C7" s="4" t="s">
        <v>339</v>
      </c>
      <c r="D7" s="4" t="s">
        <v>1101</v>
      </c>
    </row>
    <row r="8">
      <c r="A8" s="4" t="s">
        <v>1102</v>
      </c>
      <c r="B8" s="4" t="s">
        <v>780</v>
      </c>
      <c r="C8" s="4" t="s">
        <v>325</v>
      </c>
      <c r="D8" s="4" t="s">
        <v>1103</v>
      </c>
    </row>
    <row r="9">
      <c r="A9" s="4" t="s">
        <v>1104</v>
      </c>
      <c r="B9" s="4" t="s">
        <v>1105</v>
      </c>
      <c r="C9" s="4" t="s">
        <v>325</v>
      </c>
      <c r="D9" s="4" t="s">
        <v>1106</v>
      </c>
    </row>
    <row r="10">
      <c r="A10" s="4" t="s">
        <v>1107</v>
      </c>
      <c r="B10" s="4" t="s">
        <v>1108</v>
      </c>
      <c r="C10" s="4" t="s">
        <v>325</v>
      </c>
      <c r="D10" s="4" t="s">
        <v>1109</v>
      </c>
    </row>
    <row r="11">
      <c r="A11" s="4" t="s">
        <v>1110</v>
      </c>
      <c r="B11" s="4" t="s">
        <v>1111</v>
      </c>
      <c r="C11" s="4" t="s">
        <v>329</v>
      </c>
      <c r="D11" s="4" t="s">
        <v>1112</v>
      </c>
    </row>
    <row r="12">
      <c r="A12" s="4" t="s">
        <v>800</v>
      </c>
      <c r="B12" s="4" t="s">
        <v>801</v>
      </c>
      <c r="C12" s="4" t="s">
        <v>325</v>
      </c>
      <c r="D12" s="4" t="s">
        <v>1113</v>
      </c>
    </row>
    <row r="13">
      <c r="A13" s="4" t="s">
        <v>1104</v>
      </c>
      <c r="B13" s="4" t="s">
        <v>1105</v>
      </c>
      <c r="C13" s="4" t="s">
        <v>339</v>
      </c>
      <c r="D13" s="4" t="s">
        <v>1114</v>
      </c>
    </row>
    <row r="14">
      <c r="A14" s="4" t="s">
        <v>1090</v>
      </c>
      <c r="B14" s="4" t="s">
        <v>807</v>
      </c>
      <c r="C14" s="4" t="s">
        <v>329</v>
      </c>
      <c r="D14" s="4" t="s">
        <v>1115</v>
      </c>
    </row>
    <row r="15">
      <c r="A15" s="4" t="s">
        <v>1092</v>
      </c>
      <c r="B15" s="4" t="s">
        <v>1093</v>
      </c>
      <c r="C15" s="4" t="s">
        <v>339</v>
      </c>
      <c r="D15" s="4" t="s">
        <v>515</v>
      </c>
    </row>
    <row r="16">
      <c r="A16" s="4" t="s">
        <v>659</v>
      </c>
      <c r="B16" s="4" t="s">
        <v>1097</v>
      </c>
      <c r="C16" s="4" t="s">
        <v>329</v>
      </c>
      <c r="D16" s="4" t="s">
        <v>1115</v>
      </c>
    </row>
    <row r="17">
      <c r="A17" s="4" t="s">
        <v>1116</v>
      </c>
      <c r="B17" s="4" t="s">
        <v>1117</v>
      </c>
      <c r="C17" s="4" t="s">
        <v>325</v>
      </c>
      <c r="D17" s="4" t="s">
        <v>1118</v>
      </c>
    </row>
    <row r="18">
      <c r="A18" s="4" t="s">
        <v>1119</v>
      </c>
      <c r="B18" s="4" t="s">
        <v>1120</v>
      </c>
      <c r="C18" s="4" t="s">
        <v>329</v>
      </c>
      <c r="D18" s="4" t="s">
        <v>1115</v>
      </c>
    </row>
    <row r="19">
      <c r="A19" s="4" t="s">
        <v>785</v>
      </c>
      <c r="B19" s="4" t="s">
        <v>1121</v>
      </c>
      <c r="C19" s="4" t="s">
        <v>339</v>
      </c>
      <c r="D19" s="4" t="s">
        <v>515</v>
      </c>
    </row>
    <row r="20">
      <c r="A20" s="4" t="s">
        <v>1122</v>
      </c>
      <c r="B20" s="4" t="s">
        <v>1123</v>
      </c>
      <c r="C20" s="4" t="s">
        <v>329</v>
      </c>
      <c r="D20" s="4" t="s">
        <v>1115</v>
      </c>
    </row>
    <row r="21">
      <c r="A21" s="4" t="s">
        <v>791</v>
      </c>
      <c r="B21" s="4" t="s">
        <v>792</v>
      </c>
      <c r="C21" s="4" t="s">
        <v>329</v>
      </c>
      <c r="D21" s="4" t="s">
        <v>793</v>
      </c>
    </row>
    <row r="22">
      <c r="A22" s="4" t="s">
        <v>788</v>
      </c>
      <c r="B22" s="4" t="s">
        <v>789</v>
      </c>
      <c r="C22" s="4" t="s">
        <v>329</v>
      </c>
      <c r="D22" s="4" t="s">
        <v>790</v>
      </c>
    </row>
    <row r="23">
      <c r="A23" s="4" t="s">
        <v>1124</v>
      </c>
      <c r="B23" s="4" t="s">
        <v>1125</v>
      </c>
      <c r="C23" s="4" t="s">
        <v>339</v>
      </c>
      <c r="D23" s="4" t="s">
        <v>1126</v>
      </c>
    </row>
    <row r="24">
      <c r="A24" s="4" t="s">
        <v>1127</v>
      </c>
      <c r="B24" s="4" t="s">
        <v>1105</v>
      </c>
      <c r="C24" s="4" t="s">
        <v>339</v>
      </c>
      <c r="D24" s="4" t="s">
        <v>1128</v>
      </c>
    </row>
    <row r="25">
      <c r="A25" s="4" t="s">
        <v>794</v>
      </c>
      <c r="B25" s="4" t="s">
        <v>795</v>
      </c>
      <c r="C25" s="4" t="s">
        <v>329</v>
      </c>
      <c r="D25" s="4" t="s">
        <v>796</v>
      </c>
    </row>
    <row r="26">
      <c r="A26" s="4" t="s">
        <v>800</v>
      </c>
      <c r="B26" s="4" t="s">
        <v>801</v>
      </c>
      <c r="C26" s="4" t="s">
        <v>339</v>
      </c>
      <c r="D26" s="4" t="s">
        <v>802</v>
      </c>
    </row>
    <row r="27">
      <c r="A27" s="4" t="s">
        <v>797</v>
      </c>
      <c r="B27" s="4" t="s">
        <v>798</v>
      </c>
      <c r="C27" s="4" t="s">
        <v>339</v>
      </c>
      <c r="D27" s="4" t="s">
        <v>799</v>
      </c>
    </row>
    <row r="28">
      <c r="A28" s="4" t="s">
        <v>1129</v>
      </c>
      <c r="B28" s="4" t="s">
        <v>765</v>
      </c>
      <c r="C28" s="4" t="s">
        <v>329</v>
      </c>
      <c r="D28" s="4" t="s">
        <v>1130</v>
      </c>
    </row>
    <row r="29">
      <c r="A29" s="4" t="s">
        <v>1131</v>
      </c>
      <c r="B29" s="4" t="s">
        <v>1132</v>
      </c>
      <c r="C29" s="4" t="s">
        <v>329</v>
      </c>
      <c r="D29" s="4" t="s">
        <v>769</v>
      </c>
    </row>
    <row r="30">
      <c r="A30" s="4" t="s">
        <v>1133</v>
      </c>
      <c r="B30" s="4" t="s">
        <v>1083</v>
      </c>
      <c r="C30" s="4" t="s">
        <v>339</v>
      </c>
      <c r="D30" s="4" t="s">
        <v>515</v>
      </c>
    </row>
    <row r="31">
      <c r="A31" s="4" t="s">
        <v>1134</v>
      </c>
      <c r="B31" s="4" t="s">
        <v>1135</v>
      </c>
      <c r="C31" s="4" t="s">
        <v>329</v>
      </c>
      <c r="D31" s="4" t="s">
        <v>735</v>
      </c>
    </row>
    <row r="32">
      <c r="A32" s="4" t="s">
        <v>1136</v>
      </c>
      <c r="B32" s="4" t="s">
        <v>1137</v>
      </c>
      <c r="C32" s="4" t="s">
        <v>339</v>
      </c>
      <c r="D32" s="4" t="s">
        <v>1138</v>
      </c>
    </row>
    <row r="33">
      <c r="A33" s="4" t="s">
        <v>1139</v>
      </c>
      <c r="B33" s="4" t="s">
        <v>1140</v>
      </c>
      <c r="C33" s="4" t="s">
        <v>329</v>
      </c>
      <c r="D33" s="4" t="s">
        <v>1141</v>
      </c>
    </row>
    <row r="34">
      <c r="A34" s="4" t="s">
        <v>1142</v>
      </c>
      <c r="B34" s="4" t="s">
        <v>1143</v>
      </c>
      <c r="C34" s="4" t="s">
        <v>329</v>
      </c>
      <c r="D34" s="4" t="s">
        <v>744</v>
      </c>
    </row>
    <row r="35">
      <c r="A35" s="4" t="s">
        <v>1144</v>
      </c>
      <c r="B35" s="4" t="s">
        <v>1145</v>
      </c>
      <c r="C35" s="4" t="s">
        <v>329</v>
      </c>
      <c r="D35" s="4" t="s">
        <v>1146</v>
      </c>
    </row>
    <row r="36">
      <c r="A36" s="4" t="s">
        <v>1147</v>
      </c>
      <c r="B36" s="4" t="s">
        <v>1148</v>
      </c>
      <c r="C36" s="4" t="s">
        <v>329</v>
      </c>
      <c r="D36" s="4" t="s">
        <v>1149</v>
      </c>
    </row>
    <row r="37">
      <c r="A37" s="4" t="s">
        <v>1150</v>
      </c>
      <c r="B37" s="4" t="s">
        <v>399</v>
      </c>
      <c r="C37" s="4" t="s">
        <v>329</v>
      </c>
      <c r="D37" s="4" t="s">
        <v>1151</v>
      </c>
    </row>
    <row r="38">
      <c r="A38" s="4" t="s">
        <v>1152</v>
      </c>
      <c r="B38" s="4" t="s">
        <v>1153</v>
      </c>
      <c r="C38" s="4" t="s">
        <v>329</v>
      </c>
      <c r="D38" s="4" t="s">
        <v>811</v>
      </c>
    </row>
    <row r="39">
      <c r="A39" s="4" t="s">
        <v>1154</v>
      </c>
      <c r="B39" s="4" t="s">
        <v>1155</v>
      </c>
      <c r="C39" s="4" t="s">
        <v>339</v>
      </c>
      <c r="D39" s="4" t="s">
        <v>1156</v>
      </c>
    </row>
    <row r="40">
      <c r="A40" s="4" t="s">
        <v>736</v>
      </c>
      <c r="B40" s="4" t="s">
        <v>737</v>
      </c>
      <c r="C40" s="4" t="s">
        <v>329</v>
      </c>
      <c r="D40" s="4" t="s">
        <v>738</v>
      </c>
    </row>
    <row r="41">
      <c r="A41" s="4" t="s">
        <v>739</v>
      </c>
      <c r="B41" s="4" t="s">
        <v>740</v>
      </c>
      <c r="C41" s="4" t="s">
        <v>329</v>
      </c>
      <c r="D41" s="4" t="s">
        <v>741</v>
      </c>
    </row>
    <row r="42">
      <c r="A42" s="4" t="s">
        <v>742</v>
      </c>
      <c r="B42" s="4" t="s">
        <v>743</v>
      </c>
      <c r="C42" s="4" t="s">
        <v>329</v>
      </c>
      <c r="D42" s="4" t="s">
        <v>744</v>
      </c>
    </row>
    <row r="43">
      <c r="A43" s="4" t="s">
        <v>745</v>
      </c>
      <c r="B43" s="4" t="s">
        <v>746</v>
      </c>
      <c r="C43" s="4" t="s">
        <v>329</v>
      </c>
      <c r="D43" s="4" t="s">
        <v>747</v>
      </c>
    </row>
    <row r="44">
      <c r="A44" s="4" t="s">
        <v>748</v>
      </c>
      <c r="B44" s="4" t="s">
        <v>414</v>
      </c>
      <c r="C44" s="4" t="s">
        <v>329</v>
      </c>
      <c r="D44" s="4" t="s">
        <v>749</v>
      </c>
    </row>
    <row r="45">
      <c r="A45" s="4" t="s">
        <v>750</v>
      </c>
      <c r="B45" s="4" t="s">
        <v>751</v>
      </c>
      <c r="C45" s="4" t="s">
        <v>339</v>
      </c>
      <c r="D45" s="4" t="s">
        <v>752</v>
      </c>
    </row>
    <row r="46">
      <c r="A46" s="4" t="s">
        <v>753</v>
      </c>
      <c r="B46" s="4" t="s">
        <v>754</v>
      </c>
      <c r="C46" s="4" t="s">
        <v>329</v>
      </c>
      <c r="D46" s="4" t="s">
        <v>755</v>
      </c>
    </row>
    <row r="47">
      <c r="A47" s="4" t="s">
        <v>756</v>
      </c>
      <c r="B47" s="4" t="s">
        <v>757</v>
      </c>
      <c r="C47" s="4" t="s">
        <v>329</v>
      </c>
      <c r="D47" s="4" t="s">
        <v>735</v>
      </c>
    </row>
    <row r="48">
      <c r="A48" s="4" t="s">
        <v>758</v>
      </c>
      <c r="B48" s="4" t="s">
        <v>759</v>
      </c>
      <c r="C48" s="4" t="s">
        <v>329</v>
      </c>
      <c r="D48" s="4" t="s">
        <v>760</v>
      </c>
    </row>
    <row r="49">
      <c r="A49" s="4" t="s">
        <v>761</v>
      </c>
      <c r="B49" s="4" t="s">
        <v>762</v>
      </c>
      <c r="C49" s="4" t="s">
        <v>339</v>
      </c>
      <c r="D49" s="4" t="s">
        <v>763</v>
      </c>
    </row>
    <row r="50">
      <c r="A50" s="8" t="s">
        <v>764</v>
      </c>
      <c r="B50" s="4" t="s">
        <v>765</v>
      </c>
      <c r="C50" s="4" t="s">
        <v>329</v>
      </c>
      <c r="D50" s="4" t="s">
        <v>766</v>
      </c>
    </row>
    <row r="51">
      <c r="A51" s="4" t="s">
        <v>782</v>
      </c>
      <c r="B51" s="4" t="s">
        <v>783</v>
      </c>
      <c r="C51" s="4" t="s">
        <v>329</v>
      </c>
      <c r="D51" s="4" t="s">
        <v>784</v>
      </c>
    </row>
    <row r="52">
      <c r="A52" s="4" t="s">
        <v>785</v>
      </c>
      <c r="B52" s="4" t="s">
        <v>786</v>
      </c>
      <c r="C52" s="4" t="s">
        <v>339</v>
      </c>
      <c r="D52" s="4" t="s">
        <v>787</v>
      </c>
    </row>
    <row r="53">
      <c r="A53" s="4" t="s">
        <v>779</v>
      </c>
      <c r="B53" s="4" t="s">
        <v>780</v>
      </c>
      <c r="C53" s="4" t="s">
        <v>329</v>
      </c>
      <c r="D53" s="4" t="s">
        <v>781</v>
      </c>
    </row>
    <row r="54">
      <c r="A54" s="4" t="s">
        <v>776</v>
      </c>
      <c r="B54" s="4" t="s">
        <v>777</v>
      </c>
      <c r="C54" s="4" t="s">
        <v>329</v>
      </c>
      <c r="D54" s="4" t="s">
        <v>778</v>
      </c>
    </row>
    <row r="55">
      <c r="A55" s="4" t="s">
        <v>773</v>
      </c>
      <c r="B55" s="4" t="s">
        <v>774</v>
      </c>
      <c r="C55" s="4" t="s">
        <v>329</v>
      </c>
      <c r="D55" s="4" t="s">
        <v>775</v>
      </c>
    </row>
    <row r="56">
      <c r="A56" s="4" t="s">
        <v>770</v>
      </c>
      <c r="B56" s="4" t="s">
        <v>771</v>
      </c>
      <c r="C56" s="4" t="s">
        <v>329</v>
      </c>
      <c r="D56" s="4" t="s">
        <v>772</v>
      </c>
    </row>
    <row r="57">
      <c r="A57" s="4" t="s">
        <v>767</v>
      </c>
      <c r="B57" s="4" t="s">
        <v>768</v>
      </c>
      <c r="C57" s="4" t="s">
        <v>329</v>
      </c>
      <c r="D57" s="4" t="s">
        <v>769</v>
      </c>
    </row>
    <row r="58">
      <c r="A58" s="4" t="s">
        <v>1157</v>
      </c>
      <c r="B58" s="4" t="s">
        <v>1137</v>
      </c>
      <c r="C58" s="4" t="s">
        <v>339</v>
      </c>
      <c r="D58" s="4" t="s">
        <v>1138</v>
      </c>
    </row>
    <row r="59">
      <c r="A59" s="4" t="s">
        <v>1139</v>
      </c>
      <c r="B59" s="4" t="s">
        <v>1140</v>
      </c>
      <c r="C59" s="4" t="s">
        <v>329</v>
      </c>
      <c r="D59" s="4" t="s">
        <v>1141</v>
      </c>
    </row>
    <row r="60">
      <c r="A60" s="4" t="s">
        <v>1142</v>
      </c>
      <c r="B60" s="4" t="s">
        <v>1143</v>
      </c>
      <c r="C60" s="4" t="s">
        <v>329</v>
      </c>
      <c r="D60" s="4" t="s">
        <v>744</v>
      </c>
    </row>
    <row r="61">
      <c r="A61" s="4" t="s">
        <v>1144</v>
      </c>
      <c r="B61" s="4" t="s">
        <v>1145</v>
      </c>
      <c r="C61" s="4" t="s">
        <v>329</v>
      </c>
      <c r="D61" s="4" t="s">
        <v>1146</v>
      </c>
    </row>
    <row r="62">
      <c r="A62" s="4" t="s">
        <v>1147</v>
      </c>
      <c r="B62" s="4" t="s">
        <v>1148</v>
      </c>
      <c r="C62" s="4" t="s">
        <v>329</v>
      </c>
      <c r="D62" s="4" t="s">
        <v>1149</v>
      </c>
    </row>
    <row r="63">
      <c r="A63" s="4" t="s">
        <v>1150</v>
      </c>
      <c r="B63" s="4" t="s">
        <v>399</v>
      </c>
      <c r="C63" s="4" t="s">
        <v>329</v>
      </c>
      <c r="D63" s="4" t="s">
        <v>1151</v>
      </c>
    </row>
    <row r="64">
      <c r="A64" s="4" t="s">
        <v>1152</v>
      </c>
      <c r="B64" s="4" t="s">
        <v>1153</v>
      </c>
      <c r="C64" s="4" t="s">
        <v>329</v>
      </c>
      <c r="D64" s="4" t="s">
        <v>811</v>
      </c>
    </row>
    <row r="65">
      <c r="A65" s="4" t="s">
        <v>1154</v>
      </c>
      <c r="B65" s="4" t="s">
        <v>1155</v>
      </c>
      <c r="C65" s="4" t="s">
        <v>339</v>
      </c>
      <c r="D65" s="4" t="s">
        <v>1156</v>
      </c>
    </row>
    <row r="66">
      <c r="A66" s="4" t="s">
        <v>736</v>
      </c>
      <c r="B66" s="4" t="s">
        <v>737</v>
      </c>
      <c r="C66" s="4" t="s">
        <v>329</v>
      </c>
      <c r="D66" s="4" t="s">
        <v>738</v>
      </c>
    </row>
    <row r="67">
      <c r="A67" s="4" t="s">
        <v>739</v>
      </c>
      <c r="B67" s="4" t="s">
        <v>740</v>
      </c>
      <c r="C67" s="4" t="s">
        <v>329</v>
      </c>
      <c r="D67" s="4" t="s">
        <v>741</v>
      </c>
    </row>
    <row r="68">
      <c r="A68" s="4" t="s">
        <v>742</v>
      </c>
      <c r="B68" s="4" t="s">
        <v>743</v>
      </c>
      <c r="C68" s="4" t="s">
        <v>329</v>
      </c>
      <c r="D68" s="4" t="s">
        <v>744</v>
      </c>
    </row>
    <row r="69">
      <c r="A69" s="4" t="s">
        <v>745</v>
      </c>
      <c r="B69" s="4" t="s">
        <v>746</v>
      </c>
      <c r="C69" s="4" t="s">
        <v>329</v>
      </c>
      <c r="D69" s="4" t="s">
        <v>747</v>
      </c>
    </row>
    <row r="70">
      <c r="A70" s="4" t="s">
        <v>748</v>
      </c>
      <c r="B70" s="4" t="s">
        <v>414</v>
      </c>
      <c r="C70" s="4" t="s">
        <v>329</v>
      </c>
      <c r="D70" s="4" t="s">
        <v>749</v>
      </c>
    </row>
    <row r="71">
      <c r="A71" s="5"/>
      <c r="B71" s="5"/>
      <c r="C71" s="5"/>
      <c r="D71" s="5"/>
    </row>
    <row r="72">
      <c r="A72" s="4" t="s">
        <v>1158</v>
      </c>
      <c r="B72" s="4" t="s">
        <v>1159</v>
      </c>
      <c r="C72" s="4" t="s">
        <v>339</v>
      </c>
      <c r="D72" s="4" t="s">
        <v>1160</v>
      </c>
    </row>
    <row r="73">
      <c r="A73" s="4" t="s">
        <v>1161</v>
      </c>
      <c r="B73" s="4" t="s">
        <v>1162</v>
      </c>
      <c r="C73" s="4" t="s">
        <v>339</v>
      </c>
      <c r="D73" s="4" t="s">
        <v>1163</v>
      </c>
    </row>
    <row r="74">
      <c r="A74" s="4" t="s">
        <v>1164</v>
      </c>
      <c r="B74" s="4" t="s">
        <v>1165</v>
      </c>
      <c r="C74" s="4" t="s">
        <v>339</v>
      </c>
      <c r="D74" s="4" t="s">
        <v>1166</v>
      </c>
    </row>
    <row r="75">
      <c r="A75" s="4" t="s">
        <v>1167</v>
      </c>
      <c r="B75" s="4" t="s">
        <v>1168</v>
      </c>
      <c r="C75" s="4" t="s">
        <v>339</v>
      </c>
      <c r="D75" s="4" t="s">
        <v>1169</v>
      </c>
    </row>
    <row r="76">
      <c r="A76" s="4" t="s">
        <v>1170</v>
      </c>
      <c r="B76" s="4" t="s">
        <v>1171</v>
      </c>
      <c r="C76" s="4" t="s">
        <v>339</v>
      </c>
      <c r="D76" s="4" t="s">
        <v>1172</v>
      </c>
    </row>
    <row r="77">
      <c r="A77" s="4" t="s">
        <v>1173</v>
      </c>
      <c r="B77" s="4" t="s">
        <v>1174</v>
      </c>
      <c r="C77" s="4" t="s">
        <v>339</v>
      </c>
      <c r="D77" s="4" t="s">
        <v>1175</v>
      </c>
    </row>
    <row r="78">
      <c r="A78" s="4" t="s">
        <v>803</v>
      </c>
      <c r="B78" s="4" t="s">
        <v>804</v>
      </c>
      <c r="C78" s="4" t="s">
        <v>329</v>
      </c>
      <c r="D78" s="4" t="s">
        <v>805</v>
      </c>
    </row>
    <row r="79">
      <c r="A79" s="4" t="s">
        <v>1176</v>
      </c>
      <c r="B79" s="4" t="s">
        <v>1177</v>
      </c>
      <c r="C79" s="4" t="s">
        <v>339</v>
      </c>
      <c r="D79" s="4" t="s">
        <v>1178</v>
      </c>
    </row>
    <row r="80">
      <c r="A80" s="4" t="s">
        <v>806</v>
      </c>
      <c r="B80" s="4" t="s">
        <v>807</v>
      </c>
      <c r="C80" s="4" t="s">
        <v>329</v>
      </c>
      <c r="D80" s="4" t="s">
        <v>808</v>
      </c>
    </row>
    <row r="81">
      <c r="A81" s="4" t="s">
        <v>767</v>
      </c>
      <c r="B81" s="4" t="s">
        <v>768</v>
      </c>
      <c r="C81" s="4" t="s">
        <v>329</v>
      </c>
      <c r="D81" s="4" t="s">
        <v>769</v>
      </c>
    </row>
    <row r="82">
      <c r="A82" s="4" t="s">
        <v>770</v>
      </c>
      <c r="B82" s="4" t="s">
        <v>771</v>
      </c>
      <c r="C82" s="4" t="s">
        <v>329</v>
      </c>
      <c r="D82" s="4" t="s">
        <v>772</v>
      </c>
    </row>
    <row r="83">
      <c r="A83" s="4" t="s">
        <v>773</v>
      </c>
      <c r="B83" s="4" t="s">
        <v>774</v>
      </c>
      <c r="C83" s="4" t="s">
        <v>329</v>
      </c>
      <c r="D83" s="4" t="s">
        <v>775</v>
      </c>
    </row>
    <row r="84">
      <c r="A84" s="4" t="s">
        <v>776</v>
      </c>
      <c r="B84" s="4" t="s">
        <v>777</v>
      </c>
      <c r="C84" s="4" t="s">
        <v>329</v>
      </c>
      <c r="D84" s="4" t="s">
        <v>778</v>
      </c>
    </row>
    <row r="85">
      <c r="A85" s="4" t="s">
        <v>779</v>
      </c>
      <c r="B85" s="4" t="s">
        <v>780</v>
      </c>
      <c r="C85" s="4" t="s">
        <v>329</v>
      </c>
      <c r="D85" s="4" t="s">
        <v>781</v>
      </c>
    </row>
    <row r="86">
      <c r="A86" s="4" t="s">
        <v>782</v>
      </c>
      <c r="B86" s="4" t="s">
        <v>783</v>
      </c>
      <c r="C86" s="4" t="s">
        <v>329</v>
      </c>
      <c r="D86" s="4" t="s">
        <v>784</v>
      </c>
    </row>
    <row r="87">
      <c r="A87" s="4" t="s">
        <v>785</v>
      </c>
      <c r="B87" s="4" t="s">
        <v>786</v>
      </c>
      <c r="C87" s="4" t="s">
        <v>339</v>
      </c>
      <c r="D87" s="4" t="s">
        <v>787</v>
      </c>
    </row>
    <row r="88">
      <c r="A88" s="4" t="s">
        <v>788</v>
      </c>
      <c r="B88" s="4" t="s">
        <v>789</v>
      </c>
      <c r="C88" s="4" t="s">
        <v>329</v>
      </c>
      <c r="D88" s="4" t="s">
        <v>790</v>
      </c>
    </row>
    <row r="89">
      <c r="A89" s="4" t="s">
        <v>791</v>
      </c>
      <c r="B89" s="4" t="s">
        <v>792</v>
      </c>
      <c r="C89" s="4" t="s">
        <v>329</v>
      </c>
      <c r="D89" s="4" t="s">
        <v>793</v>
      </c>
    </row>
    <row r="90">
      <c r="A90" s="4" t="s">
        <v>794</v>
      </c>
      <c r="B90" s="4" t="s">
        <v>795</v>
      </c>
      <c r="C90" s="4" t="s">
        <v>329</v>
      </c>
      <c r="D90" s="4" t="s">
        <v>796</v>
      </c>
    </row>
    <row r="91">
      <c r="A91" s="4" t="s">
        <v>797</v>
      </c>
      <c r="B91" s="4" t="s">
        <v>798</v>
      </c>
      <c r="C91" s="4" t="s">
        <v>339</v>
      </c>
      <c r="D91" s="4" t="s">
        <v>799</v>
      </c>
    </row>
    <row r="92">
      <c r="A92" s="5"/>
      <c r="B92" s="5"/>
      <c r="C92" s="5"/>
      <c r="D92" s="5"/>
    </row>
  </sheetData>
  <hyperlinks>
    <hyperlink r:id="rId1" ref="A50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1179</v>
      </c>
      <c r="D1" s="1" t="s">
        <v>1180</v>
      </c>
      <c r="E1" s="1" t="s">
        <v>1181</v>
      </c>
      <c r="F1" s="1" t="s">
        <v>1182</v>
      </c>
    </row>
    <row r="2">
      <c r="A2" s="1" t="s">
        <v>1183</v>
      </c>
      <c r="B2" s="16" t="s">
        <v>1184</v>
      </c>
      <c r="D2" s="1" t="s">
        <v>1185</v>
      </c>
      <c r="E2" s="10" t="s">
        <v>1186</v>
      </c>
      <c r="F2" s="1" t="s">
        <v>1187</v>
      </c>
    </row>
    <row r="3">
      <c r="A3" s="1" t="s">
        <v>1188</v>
      </c>
      <c r="B3" s="16" t="s">
        <v>1189</v>
      </c>
      <c r="C3" s="1" t="s">
        <v>339</v>
      </c>
      <c r="D3" s="1" t="s">
        <v>1190</v>
      </c>
      <c r="E3" s="10" t="s">
        <v>1191</v>
      </c>
      <c r="F3" s="1" t="s">
        <v>1192</v>
      </c>
    </row>
    <row r="4">
      <c r="A4" s="1" t="s">
        <v>1193</v>
      </c>
      <c r="B4" s="16" t="s">
        <v>1194</v>
      </c>
      <c r="C4" s="4" t="s">
        <v>339</v>
      </c>
      <c r="D4" s="1" t="s">
        <v>1185</v>
      </c>
      <c r="E4" s="10" t="s">
        <v>1195</v>
      </c>
      <c r="F4" s="1" t="s">
        <v>1196</v>
      </c>
    </row>
    <row r="5">
      <c r="A5" s="1" t="s">
        <v>1197</v>
      </c>
      <c r="B5" s="16" t="s">
        <v>1198</v>
      </c>
      <c r="D5" s="1" t="s">
        <v>1199</v>
      </c>
      <c r="E5" s="10" t="s">
        <v>1200</v>
      </c>
      <c r="F5" s="1" t="s">
        <v>1201</v>
      </c>
    </row>
    <row r="6">
      <c r="A6" s="1" t="s">
        <v>1202</v>
      </c>
      <c r="B6" s="16" t="s">
        <v>1203</v>
      </c>
      <c r="D6" s="1" t="s">
        <v>1185</v>
      </c>
      <c r="E6" s="10" t="s">
        <v>1204</v>
      </c>
      <c r="F6" s="1" t="s">
        <v>1205</v>
      </c>
    </row>
    <row r="7">
      <c r="A7" s="1" t="s">
        <v>1206</v>
      </c>
      <c r="B7" s="16" t="s">
        <v>1207</v>
      </c>
      <c r="C7" s="4" t="s">
        <v>339</v>
      </c>
      <c r="D7" s="1" t="s">
        <v>1208</v>
      </c>
      <c r="E7" s="10" t="s">
        <v>1209</v>
      </c>
      <c r="F7" s="1" t="s">
        <v>1210</v>
      </c>
    </row>
    <row r="8">
      <c r="A8" s="1" t="s">
        <v>1211</v>
      </c>
      <c r="B8" s="16" t="s">
        <v>1212</v>
      </c>
      <c r="D8" s="1" t="s">
        <v>1185</v>
      </c>
      <c r="E8" s="10" t="s">
        <v>1212</v>
      </c>
      <c r="F8" s="1" t="s">
        <v>1213</v>
      </c>
    </row>
    <row r="9">
      <c r="A9" s="1" t="s">
        <v>1214</v>
      </c>
      <c r="B9" s="10" t="s">
        <v>1215</v>
      </c>
      <c r="D9" s="1" t="s">
        <v>1185</v>
      </c>
      <c r="E9" s="10" t="s">
        <v>1216</v>
      </c>
      <c r="F9" s="1" t="s">
        <v>1217</v>
      </c>
    </row>
    <row r="10">
      <c r="A10" s="1" t="s">
        <v>1218</v>
      </c>
      <c r="B10" s="10" t="s">
        <v>1219</v>
      </c>
      <c r="D10" s="1" t="s">
        <v>1185</v>
      </c>
      <c r="E10" s="10" t="s">
        <v>1220</v>
      </c>
      <c r="F10" s="1" t="s">
        <v>1221</v>
      </c>
    </row>
    <row r="11">
      <c r="A11" s="1" t="s">
        <v>1222</v>
      </c>
      <c r="B11" s="10" t="s">
        <v>1223</v>
      </c>
      <c r="D11" s="1" t="s">
        <v>1185</v>
      </c>
      <c r="E11" s="10" t="s">
        <v>1224</v>
      </c>
      <c r="F11" s="1" t="s">
        <v>1225</v>
      </c>
    </row>
    <row r="12">
      <c r="A12" s="1" t="s">
        <v>1226</v>
      </c>
      <c r="B12" s="10" t="s">
        <v>1227</v>
      </c>
      <c r="C12" s="4" t="s">
        <v>339</v>
      </c>
      <c r="D12" s="1" t="s">
        <v>1185</v>
      </c>
      <c r="E12" s="1" t="s">
        <v>1228</v>
      </c>
      <c r="F12" s="1" t="s">
        <v>1229</v>
      </c>
    </row>
    <row r="13">
      <c r="A13" s="1" t="s">
        <v>1230</v>
      </c>
      <c r="B13" s="10" t="s">
        <v>1231</v>
      </c>
      <c r="C13" s="1" t="s">
        <v>339</v>
      </c>
      <c r="D13" s="1" t="s">
        <v>1232</v>
      </c>
      <c r="E13" s="10" t="s">
        <v>1231</v>
      </c>
      <c r="F13" s="1" t="s">
        <v>1233</v>
      </c>
    </row>
    <row r="14">
      <c r="A14" s="4" t="s">
        <v>1234</v>
      </c>
      <c r="B14" s="4" t="s">
        <v>1235</v>
      </c>
      <c r="C14" s="4" t="s">
        <v>329</v>
      </c>
      <c r="D14" s="4" t="s">
        <v>1236</v>
      </c>
    </row>
    <row r="15">
      <c r="A15" s="4" t="s">
        <v>1230</v>
      </c>
      <c r="B15" s="4" t="s">
        <v>1237</v>
      </c>
      <c r="C15" s="4" t="s">
        <v>329</v>
      </c>
      <c r="D15" s="4" t="s">
        <v>1238</v>
      </c>
    </row>
    <row r="16">
      <c r="A16" s="4" t="s">
        <v>1239</v>
      </c>
      <c r="B16" s="4" t="s">
        <v>1240</v>
      </c>
      <c r="C16" s="4" t="s">
        <v>329</v>
      </c>
      <c r="D16" s="4" t="s">
        <v>769</v>
      </c>
    </row>
    <row r="17">
      <c r="A17" s="4" t="s">
        <v>1241</v>
      </c>
      <c r="B17" s="4" t="s">
        <v>1242</v>
      </c>
      <c r="C17" s="4" t="s">
        <v>329</v>
      </c>
      <c r="D17" s="4" t="s">
        <v>1243</v>
      </c>
    </row>
    <row r="18">
      <c r="A18" s="4" t="s">
        <v>1244</v>
      </c>
      <c r="B18" s="4" t="s">
        <v>1245</v>
      </c>
      <c r="C18" s="4" t="s">
        <v>329</v>
      </c>
      <c r="D18" s="4" t="s">
        <v>735</v>
      </c>
    </row>
    <row r="19">
      <c r="A19" s="4" t="s">
        <v>1246</v>
      </c>
      <c r="B19" s="4" t="s">
        <v>1247</v>
      </c>
      <c r="C19" s="4" t="s">
        <v>329</v>
      </c>
      <c r="D19" s="4" t="s">
        <v>1248</v>
      </c>
    </row>
    <row r="20">
      <c r="A20" s="4" t="s">
        <v>1249</v>
      </c>
      <c r="B20" s="4" t="s">
        <v>1250</v>
      </c>
      <c r="C20" s="4" t="s">
        <v>329</v>
      </c>
      <c r="D20" s="4" t="s">
        <v>1251</v>
      </c>
    </row>
    <row r="21">
      <c r="A21" s="4" t="s">
        <v>1252</v>
      </c>
      <c r="B21" s="4" t="s">
        <v>1253</v>
      </c>
      <c r="C21" s="4" t="s">
        <v>329</v>
      </c>
      <c r="D21" s="4" t="s">
        <v>1254</v>
      </c>
    </row>
    <row r="22">
      <c r="A22" s="4" t="s">
        <v>736</v>
      </c>
      <c r="B22" s="4" t="s">
        <v>737</v>
      </c>
      <c r="C22" s="4" t="s">
        <v>329</v>
      </c>
      <c r="D22" s="4" t="s">
        <v>738</v>
      </c>
    </row>
    <row r="23">
      <c r="A23" s="4" t="s">
        <v>739</v>
      </c>
      <c r="B23" s="4" t="s">
        <v>740</v>
      </c>
      <c r="C23" s="4" t="s">
        <v>329</v>
      </c>
      <c r="D23" s="4" t="s">
        <v>741</v>
      </c>
    </row>
    <row r="24">
      <c r="A24" s="4" t="s">
        <v>742</v>
      </c>
      <c r="B24" s="4" t="s">
        <v>743</v>
      </c>
      <c r="C24" s="4" t="s">
        <v>329</v>
      </c>
      <c r="D24" s="4" t="s">
        <v>744</v>
      </c>
    </row>
    <row r="25">
      <c r="A25" s="4" t="s">
        <v>745</v>
      </c>
      <c r="B25" s="4" t="s">
        <v>746</v>
      </c>
      <c r="C25" s="4" t="s">
        <v>329</v>
      </c>
      <c r="D25" s="4" t="s">
        <v>747</v>
      </c>
    </row>
    <row r="26">
      <c r="A26" s="4" t="s">
        <v>748</v>
      </c>
      <c r="B26" s="4" t="s">
        <v>414</v>
      </c>
      <c r="C26" s="4" t="s">
        <v>329</v>
      </c>
      <c r="D26" s="4" t="s">
        <v>749</v>
      </c>
    </row>
    <row r="27">
      <c r="A27" s="4" t="s">
        <v>750</v>
      </c>
      <c r="B27" s="4" t="s">
        <v>751</v>
      </c>
      <c r="C27" s="4" t="s">
        <v>339</v>
      </c>
      <c r="D27" s="4" t="s">
        <v>752</v>
      </c>
    </row>
    <row r="28">
      <c r="A28" s="4" t="s">
        <v>753</v>
      </c>
      <c r="B28" s="4" t="s">
        <v>754</v>
      </c>
      <c r="C28" s="4" t="s">
        <v>329</v>
      </c>
      <c r="D28" s="4" t="s">
        <v>755</v>
      </c>
    </row>
    <row r="29">
      <c r="A29" s="4" t="s">
        <v>756</v>
      </c>
      <c r="B29" s="4" t="s">
        <v>757</v>
      </c>
      <c r="C29" s="4" t="s">
        <v>329</v>
      </c>
      <c r="D29" s="4" t="s">
        <v>735</v>
      </c>
    </row>
    <row r="30">
      <c r="A30" s="4" t="s">
        <v>758</v>
      </c>
      <c r="B30" s="4" t="s">
        <v>759</v>
      </c>
      <c r="C30" s="4" t="s">
        <v>329</v>
      </c>
      <c r="D30" s="4" t="s">
        <v>760</v>
      </c>
    </row>
    <row r="31">
      <c r="A31" s="4" t="s">
        <v>761</v>
      </c>
      <c r="B31" s="4" t="s">
        <v>762</v>
      </c>
      <c r="C31" s="4" t="s">
        <v>339</v>
      </c>
      <c r="D31" s="4" t="s">
        <v>763</v>
      </c>
    </row>
    <row r="32">
      <c r="A32" s="4" t="s">
        <v>764</v>
      </c>
      <c r="B32" s="4" t="s">
        <v>765</v>
      </c>
      <c r="C32" s="4" t="s">
        <v>329</v>
      </c>
      <c r="D32" s="4" t="s">
        <v>766</v>
      </c>
    </row>
    <row r="33">
      <c r="A33" s="4" t="s">
        <v>767</v>
      </c>
      <c r="B33" s="4" t="s">
        <v>768</v>
      </c>
      <c r="C33" s="4" t="s">
        <v>329</v>
      </c>
      <c r="D33" s="4" t="s">
        <v>769</v>
      </c>
    </row>
    <row r="34">
      <c r="A34" s="4" t="s">
        <v>770</v>
      </c>
      <c r="B34" s="4" t="s">
        <v>771</v>
      </c>
      <c r="C34" s="4" t="s">
        <v>329</v>
      </c>
      <c r="D34" s="4" t="s">
        <v>772</v>
      </c>
    </row>
    <row r="35">
      <c r="A35" s="4" t="s">
        <v>773</v>
      </c>
      <c r="B35" s="4" t="s">
        <v>774</v>
      </c>
      <c r="C35" s="4" t="s">
        <v>329</v>
      </c>
      <c r="D35" s="4" t="s">
        <v>775</v>
      </c>
    </row>
    <row r="36">
      <c r="A36" s="4" t="s">
        <v>776</v>
      </c>
      <c r="B36" s="4" t="s">
        <v>777</v>
      </c>
      <c r="C36" s="4" t="s">
        <v>329</v>
      </c>
      <c r="D36" s="4" t="s">
        <v>778</v>
      </c>
    </row>
    <row r="37">
      <c r="A37" s="4" t="s">
        <v>779</v>
      </c>
      <c r="B37" s="4" t="s">
        <v>780</v>
      </c>
      <c r="C37" s="4" t="s">
        <v>329</v>
      </c>
      <c r="D37" s="4" t="s">
        <v>781</v>
      </c>
    </row>
    <row r="38">
      <c r="A38" s="4" t="s">
        <v>782</v>
      </c>
      <c r="B38" s="4" t="s">
        <v>783</v>
      </c>
      <c r="C38" s="4" t="s">
        <v>329</v>
      </c>
      <c r="D38" s="4" t="s">
        <v>784</v>
      </c>
    </row>
    <row r="39">
      <c r="A39" s="4" t="s">
        <v>785</v>
      </c>
      <c r="B39" s="4" t="s">
        <v>786</v>
      </c>
      <c r="C39" s="4" t="s">
        <v>339</v>
      </c>
      <c r="D39" s="4" t="s">
        <v>787</v>
      </c>
    </row>
    <row r="40">
      <c r="A40" s="4" t="s">
        <v>788</v>
      </c>
      <c r="B40" s="4" t="s">
        <v>789</v>
      </c>
      <c r="C40" s="4" t="s">
        <v>329</v>
      </c>
      <c r="D40" s="4" t="s">
        <v>790</v>
      </c>
    </row>
    <row r="41">
      <c r="A41" s="4" t="s">
        <v>791</v>
      </c>
      <c r="B41" s="4" t="s">
        <v>792</v>
      </c>
      <c r="C41" s="4" t="s">
        <v>329</v>
      </c>
      <c r="D41" s="4" t="s">
        <v>793</v>
      </c>
    </row>
    <row r="42">
      <c r="A42" s="4" t="s">
        <v>794</v>
      </c>
      <c r="B42" s="4" t="s">
        <v>795</v>
      </c>
      <c r="C42" s="4" t="s">
        <v>329</v>
      </c>
      <c r="D42" s="4" t="s">
        <v>796</v>
      </c>
    </row>
    <row r="43">
      <c r="A43" s="4" t="s">
        <v>797</v>
      </c>
      <c r="B43" s="4" t="s">
        <v>798</v>
      </c>
      <c r="C43" s="4" t="s">
        <v>339</v>
      </c>
      <c r="D43" s="4" t="s">
        <v>799</v>
      </c>
    </row>
    <row r="44">
      <c r="A44" s="4" t="s">
        <v>1158</v>
      </c>
      <c r="B44" s="4" t="s">
        <v>1159</v>
      </c>
      <c r="C44" s="4" t="s">
        <v>339</v>
      </c>
      <c r="D44" s="4" t="s">
        <v>1160</v>
      </c>
    </row>
    <row r="45">
      <c r="A45" s="4" t="s">
        <v>1161</v>
      </c>
      <c r="B45" s="4" t="s">
        <v>1162</v>
      </c>
      <c r="C45" s="4" t="s">
        <v>339</v>
      </c>
      <c r="D45" s="4" t="s">
        <v>1163</v>
      </c>
    </row>
    <row r="46">
      <c r="A46" s="4" t="s">
        <v>1164</v>
      </c>
      <c r="B46" s="4" t="s">
        <v>1165</v>
      </c>
      <c r="C46" s="4" t="s">
        <v>339</v>
      </c>
      <c r="D46" s="4" t="s">
        <v>1166</v>
      </c>
    </row>
    <row r="47">
      <c r="A47" s="4" t="s">
        <v>1167</v>
      </c>
      <c r="B47" s="4" t="s">
        <v>1168</v>
      </c>
      <c r="C47" s="4" t="s">
        <v>339</v>
      </c>
      <c r="D47" s="4" t="s">
        <v>1169</v>
      </c>
    </row>
    <row r="48">
      <c r="A48" s="4" t="s">
        <v>1170</v>
      </c>
      <c r="B48" s="4" t="s">
        <v>1171</v>
      </c>
      <c r="C48" s="4" t="s">
        <v>339</v>
      </c>
      <c r="D48" s="4" t="s">
        <v>1172</v>
      </c>
    </row>
    <row r="49">
      <c r="A49" s="4" t="s">
        <v>1173</v>
      </c>
      <c r="B49" s="4" t="s">
        <v>1174</v>
      </c>
      <c r="C49" s="4" t="s">
        <v>339</v>
      </c>
      <c r="D49" s="4" t="s">
        <v>1175</v>
      </c>
    </row>
    <row r="50">
      <c r="A50" s="4" t="s">
        <v>803</v>
      </c>
      <c r="B50" s="4" t="s">
        <v>804</v>
      </c>
      <c r="C50" s="4" t="s">
        <v>329</v>
      </c>
      <c r="D50" s="4" t="s">
        <v>805</v>
      </c>
    </row>
    <row r="51">
      <c r="A51" s="4" t="s">
        <v>1176</v>
      </c>
      <c r="B51" s="4" t="s">
        <v>1177</v>
      </c>
      <c r="C51" s="4" t="s">
        <v>339</v>
      </c>
      <c r="D51" s="4" t="s">
        <v>1178</v>
      </c>
    </row>
    <row r="52">
      <c r="A52" s="4" t="s">
        <v>806</v>
      </c>
      <c r="B52" s="4" t="s">
        <v>807</v>
      </c>
      <c r="C52" s="4" t="s">
        <v>329</v>
      </c>
      <c r="D52" s="4" t="s">
        <v>808</v>
      </c>
    </row>
    <row r="53">
      <c r="A53" s="4" t="s">
        <v>767</v>
      </c>
      <c r="B53" s="4" t="s">
        <v>768</v>
      </c>
      <c r="C53" s="4" t="s">
        <v>329</v>
      </c>
      <c r="D53" s="4" t="s">
        <v>769</v>
      </c>
    </row>
    <row r="54">
      <c r="A54" s="4" t="s">
        <v>770</v>
      </c>
      <c r="B54" s="4" t="s">
        <v>771</v>
      </c>
      <c r="C54" s="4" t="s">
        <v>329</v>
      </c>
      <c r="D54" s="4" t="s">
        <v>772</v>
      </c>
    </row>
    <row r="55">
      <c r="A55" s="4" t="s">
        <v>773</v>
      </c>
      <c r="B55" s="4" t="s">
        <v>774</v>
      </c>
      <c r="C55" s="4" t="s">
        <v>329</v>
      </c>
      <c r="D55" s="4" t="s">
        <v>775</v>
      </c>
    </row>
    <row r="56">
      <c r="A56" s="4" t="s">
        <v>776</v>
      </c>
      <c r="B56" s="4" t="s">
        <v>777</v>
      </c>
      <c r="C56" s="4" t="s">
        <v>329</v>
      </c>
      <c r="D56" s="4" t="s">
        <v>778</v>
      </c>
    </row>
    <row r="57">
      <c r="A57" s="4" t="s">
        <v>779</v>
      </c>
      <c r="B57" s="4" t="s">
        <v>780</v>
      </c>
      <c r="C57" s="4" t="s">
        <v>329</v>
      </c>
      <c r="D57" s="4" t="s">
        <v>781</v>
      </c>
    </row>
    <row r="58">
      <c r="A58" s="4" t="s">
        <v>782</v>
      </c>
      <c r="B58" s="4" t="s">
        <v>783</v>
      </c>
      <c r="C58" s="4" t="s">
        <v>329</v>
      </c>
      <c r="D58" s="4" t="s">
        <v>784</v>
      </c>
    </row>
    <row r="59">
      <c r="A59" s="4" t="s">
        <v>785</v>
      </c>
      <c r="B59" s="4" t="s">
        <v>786</v>
      </c>
      <c r="C59" s="4" t="s">
        <v>339</v>
      </c>
      <c r="D59" s="4" t="s">
        <v>787</v>
      </c>
    </row>
    <row r="60">
      <c r="A60" s="4" t="s">
        <v>788</v>
      </c>
      <c r="B60" s="4" t="s">
        <v>789</v>
      </c>
      <c r="C60" s="4" t="s">
        <v>329</v>
      </c>
      <c r="D60" s="4" t="s">
        <v>790</v>
      </c>
    </row>
    <row r="61">
      <c r="A61" s="4" t="s">
        <v>791</v>
      </c>
      <c r="B61" s="4" t="s">
        <v>792</v>
      </c>
      <c r="C61" s="4" t="s">
        <v>329</v>
      </c>
      <c r="D61" s="4" t="s">
        <v>793</v>
      </c>
    </row>
    <row r="62">
      <c r="A62" s="4" t="s">
        <v>794</v>
      </c>
      <c r="B62" s="4" t="s">
        <v>795</v>
      </c>
      <c r="C62" s="4" t="s">
        <v>329</v>
      </c>
      <c r="D62" s="4" t="s">
        <v>796</v>
      </c>
    </row>
    <row r="63">
      <c r="A63" s="4" t="s">
        <v>797</v>
      </c>
      <c r="B63" s="4" t="s">
        <v>798</v>
      </c>
      <c r="C63" s="4" t="s">
        <v>339</v>
      </c>
      <c r="D63" s="4" t="s">
        <v>799</v>
      </c>
    </row>
    <row r="64">
      <c r="A64" s="5"/>
      <c r="B64" s="5"/>
      <c r="C64" s="5"/>
      <c r="D64" s="5"/>
    </row>
  </sheetData>
  <hyperlinks>
    <hyperlink r:id="rId1" ref="B2"/>
    <hyperlink r:id="rId2" ref="E2"/>
    <hyperlink r:id="rId3" ref="B3"/>
    <hyperlink r:id="rId4" ref="E3"/>
    <hyperlink r:id="rId5" ref="B4"/>
    <hyperlink r:id="rId6" ref="E4"/>
    <hyperlink r:id="rId7" ref="B5"/>
    <hyperlink r:id="rId8" ref="E5"/>
    <hyperlink r:id="rId9" ref="B6"/>
    <hyperlink r:id="rId10" ref="E6"/>
    <hyperlink r:id="rId11" ref="B7"/>
    <hyperlink r:id="rId12" ref="E7"/>
    <hyperlink r:id="rId13" ref="B8"/>
    <hyperlink r:id="rId14" ref="E8"/>
    <hyperlink r:id="rId15" ref="B9"/>
    <hyperlink r:id="rId16" ref="E9"/>
    <hyperlink r:id="rId17" ref="B10"/>
    <hyperlink r:id="rId18" ref="E10"/>
    <hyperlink r:id="rId19" ref="B11"/>
    <hyperlink r:id="rId20" ref="E11"/>
    <hyperlink r:id="rId21" ref="B12"/>
    <hyperlink r:id="rId22" ref="B13"/>
    <hyperlink r:id="rId23" ref="E13"/>
  </hyperlinks>
  <drawing r:id="rId2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1255</v>
      </c>
      <c r="B1" s="1" t="s">
        <v>1256</v>
      </c>
      <c r="C1" s="1" t="s">
        <v>2</v>
      </c>
      <c r="D1" s="1" t="s">
        <v>1257</v>
      </c>
      <c r="E1" s="1" t="s">
        <v>1258</v>
      </c>
      <c r="F1" s="1"/>
      <c r="G1" s="1" t="s">
        <v>1259</v>
      </c>
      <c r="H1" s="1" t="s">
        <v>1260</v>
      </c>
      <c r="I1" s="1" t="s">
        <v>1261</v>
      </c>
      <c r="J1" s="1" t="s">
        <v>1262</v>
      </c>
      <c r="K1" s="1" t="s">
        <v>1263</v>
      </c>
    </row>
    <row r="2">
      <c r="A2" s="1" t="s">
        <v>1264</v>
      </c>
      <c r="B2" s="16" t="s">
        <v>1265</v>
      </c>
      <c r="C2" s="4" t="s">
        <v>339</v>
      </c>
      <c r="E2" s="17"/>
      <c r="F2" s="17"/>
      <c r="G2" s="1" t="s">
        <v>1266</v>
      </c>
      <c r="H2" s="1" t="s">
        <v>1267</v>
      </c>
      <c r="I2" s="1" t="s">
        <v>1268</v>
      </c>
      <c r="J2" s="1" t="s">
        <v>1269</v>
      </c>
      <c r="K2" s="1" t="s">
        <v>1270</v>
      </c>
    </row>
    <row r="3">
      <c r="A3" s="1" t="s">
        <v>1271</v>
      </c>
      <c r="B3" s="16" t="s">
        <v>1272</v>
      </c>
      <c r="C3" s="4" t="s">
        <v>339</v>
      </c>
      <c r="E3" s="17"/>
      <c r="F3" s="17"/>
      <c r="G3" s="1" t="s">
        <v>1273</v>
      </c>
      <c r="H3" s="1" t="s">
        <v>1267</v>
      </c>
      <c r="I3" s="1" t="s">
        <v>1274</v>
      </c>
      <c r="J3" s="1" t="s">
        <v>1269</v>
      </c>
      <c r="K3" s="1" t="s">
        <v>1275</v>
      </c>
    </row>
    <row r="4">
      <c r="A4" s="1" t="s">
        <v>1276</v>
      </c>
      <c r="B4" s="16" t="s">
        <v>1277</v>
      </c>
      <c r="C4" s="4" t="s">
        <v>339</v>
      </c>
      <c r="E4" s="17"/>
      <c r="F4" s="17"/>
      <c r="G4" s="1" t="s">
        <v>1278</v>
      </c>
      <c r="H4" s="1" t="s">
        <v>1267</v>
      </c>
      <c r="I4" s="1" t="s">
        <v>1279</v>
      </c>
      <c r="J4" s="1" t="s">
        <v>1269</v>
      </c>
      <c r="K4" s="1" t="s">
        <v>1270</v>
      </c>
    </row>
    <row r="5">
      <c r="A5" s="1" t="s">
        <v>1280</v>
      </c>
      <c r="B5" s="16" t="s">
        <v>1281</v>
      </c>
      <c r="C5" s="1"/>
      <c r="E5" s="17"/>
      <c r="F5" s="17"/>
      <c r="G5" s="1" t="s">
        <v>1282</v>
      </c>
      <c r="H5" s="1" t="s">
        <v>1267</v>
      </c>
      <c r="I5" s="1" t="s">
        <v>1283</v>
      </c>
      <c r="J5" s="1" t="s">
        <v>1269</v>
      </c>
      <c r="K5" s="1" t="s">
        <v>1284</v>
      </c>
    </row>
    <row r="6">
      <c r="A6" s="1" t="s">
        <v>1285</v>
      </c>
      <c r="B6" s="16" t="s">
        <v>1286</v>
      </c>
      <c r="C6" s="1" t="s">
        <v>339</v>
      </c>
      <c r="E6" s="17"/>
      <c r="F6" s="17"/>
      <c r="G6" s="1" t="s">
        <v>1287</v>
      </c>
      <c r="H6" s="1" t="s">
        <v>1267</v>
      </c>
      <c r="I6" s="1" t="s">
        <v>1288</v>
      </c>
      <c r="J6" s="1" t="s">
        <v>1269</v>
      </c>
      <c r="K6" s="1" t="s">
        <v>1275</v>
      </c>
    </row>
    <row r="7">
      <c r="A7" s="1" t="s">
        <v>1289</v>
      </c>
      <c r="B7" s="16" t="s">
        <v>1290</v>
      </c>
      <c r="C7" s="1"/>
      <c r="E7" s="17"/>
      <c r="F7" s="17"/>
      <c r="G7" s="1" t="s">
        <v>1291</v>
      </c>
      <c r="H7" s="1" t="s">
        <v>1292</v>
      </c>
      <c r="I7" s="1" t="s">
        <v>1293</v>
      </c>
      <c r="J7" s="1" t="s">
        <v>1269</v>
      </c>
      <c r="K7" s="1" t="s">
        <v>1294</v>
      </c>
    </row>
    <row r="8">
      <c r="A8" s="1" t="s">
        <v>1295</v>
      </c>
      <c r="B8" s="10" t="s">
        <v>1296</v>
      </c>
      <c r="C8" s="1"/>
      <c r="E8" s="1"/>
      <c r="F8" s="1"/>
      <c r="G8" s="1" t="s">
        <v>1278</v>
      </c>
      <c r="H8" s="1" t="s">
        <v>1267</v>
      </c>
      <c r="I8" s="1" t="s">
        <v>1297</v>
      </c>
      <c r="J8" s="1" t="s">
        <v>1269</v>
      </c>
      <c r="K8" s="1" t="s">
        <v>1270</v>
      </c>
    </row>
    <row r="9">
      <c r="A9" s="1" t="s">
        <v>1298</v>
      </c>
      <c r="B9" s="10" t="s">
        <v>1299</v>
      </c>
      <c r="C9" s="1"/>
      <c r="E9" s="1"/>
      <c r="F9" s="1"/>
      <c r="G9" s="1" t="s">
        <v>1300</v>
      </c>
      <c r="H9" s="1" t="s">
        <v>1267</v>
      </c>
      <c r="I9" s="1" t="s">
        <v>1301</v>
      </c>
      <c r="J9" s="1" t="s">
        <v>1269</v>
      </c>
      <c r="K9" s="1" t="s">
        <v>1284</v>
      </c>
    </row>
    <row r="10">
      <c r="A10" s="1" t="s">
        <v>1302</v>
      </c>
      <c r="B10" s="10" t="s">
        <v>1303</v>
      </c>
      <c r="C10" s="4" t="s">
        <v>339</v>
      </c>
      <c r="E10" s="1"/>
      <c r="F10" s="1"/>
      <c r="G10" s="1" t="s">
        <v>1267</v>
      </c>
      <c r="H10" s="1" t="s">
        <v>1267</v>
      </c>
      <c r="I10" s="1" t="s">
        <v>1304</v>
      </c>
      <c r="J10" s="1" t="s">
        <v>1305</v>
      </c>
      <c r="K10" s="1" t="s">
        <v>1270</v>
      </c>
    </row>
    <row r="11">
      <c r="A11" s="1" t="s">
        <v>1306</v>
      </c>
      <c r="B11" s="10" t="s">
        <v>1307</v>
      </c>
      <c r="C11" s="4" t="s">
        <v>339</v>
      </c>
      <c r="E11" s="1"/>
      <c r="F11" s="1"/>
      <c r="G11" s="1" t="s">
        <v>1278</v>
      </c>
      <c r="H11" s="1" t="s">
        <v>1292</v>
      </c>
      <c r="I11" s="1" t="s">
        <v>1308</v>
      </c>
      <c r="J11" s="1" t="s">
        <v>1269</v>
      </c>
      <c r="K11" s="1" t="s">
        <v>1270</v>
      </c>
    </row>
    <row r="12">
      <c r="A12" s="1" t="s">
        <v>1309</v>
      </c>
      <c r="B12" s="16" t="s">
        <v>1310</v>
      </c>
      <c r="C12" s="4" t="s">
        <v>339</v>
      </c>
      <c r="E12" s="1"/>
      <c r="F12" s="1"/>
      <c r="G12" s="1" t="s">
        <v>1311</v>
      </c>
      <c r="H12" s="1" t="s">
        <v>1267</v>
      </c>
      <c r="I12" s="1" t="s">
        <v>1312</v>
      </c>
      <c r="J12" s="1" t="s">
        <v>1269</v>
      </c>
      <c r="K12" s="1" t="s">
        <v>1275</v>
      </c>
    </row>
    <row r="13">
      <c r="A13" s="1" t="s">
        <v>1313</v>
      </c>
      <c r="B13" s="10" t="s">
        <v>1314</v>
      </c>
      <c r="C13" s="1"/>
      <c r="E13" s="1"/>
      <c r="F13" s="1"/>
      <c r="G13" s="1" t="s">
        <v>1315</v>
      </c>
      <c r="H13" s="1" t="s">
        <v>1292</v>
      </c>
      <c r="I13" s="1" t="s">
        <v>1316</v>
      </c>
      <c r="J13" s="1" t="s">
        <v>1269</v>
      </c>
      <c r="K13" s="1" t="s">
        <v>1294</v>
      </c>
    </row>
    <row r="14">
      <c r="A14" s="1" t="s">
        <v>1317</v>
      </c>
      <c r="B14" s="10" t="s">
        <v>1318</v>
      </c>
      <c r="C14" s="1"/>
      <c r="E14" s="1"/>
      <c r="F14" s="1"/>
      <c r="G14" s="1" t="s">
        <v>1266</v>
      </c>
      <c r="H14" s="1" t="s">
        <v>1292</v>
      </c>
      <c r="I14" s="1" t="s">
        <v>1319</v>
      </c>
      <c r="J14" s="1" t="s">
        <v>1269</v>
      </c>
      <c r="K14" s="1" t="s">
        <v>1284</v>
      </c>
    </row>
    <row r="15">
      <c r="A15" s="1" t="s">
        <v>1320</v>
      </c>
      <c r="B15" s="1" t="s">
        <v>1321</v>
      </c>
      <c r="C15" s="4"/>
      <c r="E15" s="1"/>
      <c r="F15" s="1"/>
      <c r="G15" s="1" t="s">
        <v>1267</v>
      </c>
      <c r="H15" s="1" t="s">
        <v>1267</v>
      </c>
      <c r="I15" s="1" t="s">
        <v>1322</v>
      </c>
      <c r="J15" s="1" t="s">
        <v>1323</v>
      </c>
      <c r="K15" s="1" t="s">
        <v>1275</v>
      </c>
    </row>
    <row r="16">
      <c r="A16" s="1" t="s">
        <v>1324</v>
      </c>
      <c r="B16" s="1" t="s">
        <v>1321</v>
      </c>
      <c r="C16" s="4"/>
      <c r="E16" s="1"/>
      <c r="F16" s="1"/>
      <c r="G16" s="1" t="s">
        <v>1267</v>
      </c>
      <c r="H16" s="1" t="s">
        <v>1267</v>
      </c>
      <c r="I16" s="1" t="s">
        <v>1325</v>
      </c>
      <c r="J16" s="1" t="s">
        <v>1323</v>
      </c>
      <c r="K16" s="1" t="s">
        <v>1275</v>
      </c>
    </row>
    <row r="17">
      <c r="A17" s="1" t="s">
        <v>1326</v>
      </c>
      <c r="B17" s="1" t="s">
        <v>1321</v>
      </c>
      <c r="C17" s="4"/>
      <c r="E17" s="1"/>
      <c r="F17" s="1"/>
      <c r="G17" s="1" t="s">
        <v>1267</v>
      </c>
      <c r="H17" s="1" t="s">
        <v>1267</v>
      </c>
      <c r="I17" s="1" t="s">
        <v>1327</v>
      </c>
      <c r="J17" s="1" t="s">
        <v>1323</v>
      </c>
      <c r="K17" s="1" t="s">
        <v>1275</v>
      </c>
    </row>
    <row r="18">
      <c r="A18" s="1" t="s">
        <v>1328</v>
      </c>
      <c r="B18" s="1" t="s">
        <v>1329</v>
      </c>
      <c r="C18" s="1"/>
      <c r="E18" s="1"/>
      <c r="F18" s="1"/>
      <c r="G18" s="1" t="s">
        <v>1291</v>
      </c>
      <c r="H18" s="1" t="s">
        <v>1292</v>
      </c>
      <c r="I18" s="1" t="s">
        <v>1330</v>
      </c>
      <c r="J18" s="1" t="s">
        <v>1269</v>
      </c>
      <c r="K18" s="1" t="s">
        <v>1270</v>
      </c>
    </row>
    <row r="19">
      <c r="A19" s="1" t="s">
        <v>1331</v>
      </c>
      <c r="B19" s="10" t="s">
        <v>1332</v>
      </c>
      <c r="C19" s="4" t="s">
        <v>339</v>
      </c>
      <c r="E19" s="1"/>
      <c r="F19" s="1"/>
      <c r="G19" s="1" t="s">
        <v>1273</v>
      </c>
      <c r="H19" s="1" t="s">
        <v>1292</v>
      </c>
      <c r="I19" s="1" t="s">
        <v>1333</v>
      </c>
      <c r="J19" s="1" t="s">
        <v>1305</v>
      </c>
      <c r="K19" s="1" t="s">
        <v>1284</v>
      </c>
    </row>
    <row r="20">
      <c r="A20" s="1" t="s">
        <v>1334</v>
      </c>
      <c r="B20" s="1" t="s">
        <v>1321</v>
      </c>
      <c r="C20" s="1"/>
      <c r="E20" s="1"/>
      <c r="F20" s="1"/>
      <c r="G20" s="1" t="s">
        <v>1267</v>
      </c>
      <c r="H20" s="1" t="s">
        <v>1267</v>
      </c>
      <c r="I20" s="1" t="s">
        <v>1335</v>
      </c>
      <c r="J20" s="1" t="s">
        <v>1323</v>
      </c>
      <c r="K20" s="1" t="s">
        <v>1275</v>
      </c>
    </row>
    <row r="21">
      <c r="A21" s="1" t="s">
        <v>1336</v>
      </c>
      <c r="B21" s="1" t="s">
        <v>1321</v>
      </c>
      <c r="C21" s="1"/>
      <c r="E21" s="1"/>
      <c r="F21" s="1"/>
      <c r="G21" s="1" t="s">
        <v>1267</v>
      </c>
      <c r="H21" s="1" t="s">
        <v>1267</v>
      </c>
      <c r="I21" s="1" t="s">
        <v>1335</v>
      </c>
      <c r="J21" s="1" t="s">
        <v>1323</v>
      </c>
      <c r="K21" s="1" t="s">
        <v>1275</v>
      </c>
    </row>
    <row r="22">
      <c r="A22" s="1" t="s">
        <v>1337</v>
      </c>
      <c r="B22" s="1" t="s">
        <v>1338</v>
      </c>
      <c r="C22" s="1"/>
      <c r="E22" s="1"/>
      <c r="F22" s="1"/>
      <c r="G22" s="1" t="s">
        <v>1267</v>
      </c>
      <c r="H22" s="1" t="s">
        <v>1267</v>
      </c>
      <c r="I22" s="1" t="s">
        <v>1339</v>
      </c>
      <c r="J22" s="1" t="s">
        <v>1340</v>
      </c>
      <c r="K22" s="1" t="s">
        <v>1275</v>
      </c>
    </row>
    <row r="23">
      <c r="A23" s="1" t="s">
        <v>1341</v>
      </c>
      <c r="B23" s="16" t="s">
        <v>1342</v>
      </c>
      <c r="C23" s="1"/>
      <c r="E23" s="1"/>
      <c r="F23" s="1"/>
      <c r="G23" s="1" t="s">
        <v>1343</v>
      </c>
      <c r="H23" s="1" t="s">
        <v>1267</v>
      </c>
      <c r="I23" s="1" t="s">
        <v>1344</v>
      </c>
      <c r="J23" s="1" t="s">
        <v>1269</v>
      </c>
      <c r="K23" s="1" t="s">
        <v>1294</v>
      </c>
    </row>
    <row r="24">
      <c r="A24" s="1" t="s">
        <v>1345</v>
      </c>
      <c r="B24" s="10" t="s">
        <v>1346</v>
      </c>
      <c r="C24" s="1"/>
      <c r="E24" s="1"/>
      <c r="F24" s="1"/>
      <c r="G24" s="1" t="s">
        <v>1300</v>
      </c>
      <c r="H24" s="1" t="s">
        <v>1267</v>
      </c>
      <c r="I24" s="1" t="s">
        <v>1347</v>
      </c>
      <c r="J24" s="1" t="s">
        <v>1269</v>
      </c>
      <c r="K24" s="1" t="s">
        <v>1284</v>
      </c>
    </row>
    <row r="25">
      <c r="A25" s="1" t="s">
        <v>1348</v>
      </c>
      <c r="B25" s="1" t="s">
        <v>1349</v>
      </c>
      <c r="C25" s="1"/>
      <c r="D25" s="1" t="s">
        <v>1321</v>
      </c>
      <c r="E25" s="1"/>
      <c r="F25" s="1"/>
      <c r="G25" s="1" t="s">
        <v>1267</v>
      </c>
      <c r="H25" s="1" t="s">
        <v>1267</v>
      </c>
      <c r="I25" s="1" t="s">
        <v>1335</v>
      </c>
      <c r="J25" s="1" t="s">
        <v>1323</v>
      </c>
      <c r="K25" s="1" t="s">
        <v>1275</v>
      </c>
    </row>
    <row r="26">
      <c r="A26" s="4" t="s">
        <v>1350</v>
      </c>
      <c r="B26" s="4" t="s">
        <v>1281</v>
      </c>
      <c r="C26" s="4" t="s">
        <v>329</v>
      </c>
      <c r="D26" s="4" t="s">
        <v>1351</v>
      </c>
    </row>
    <row r="27">
      <c r="A27" s="4" t="s">
        <v>1352</v>
      </c>
      <c r="B27" s="4" t="s">
        <v>1353</v>
      </c>
      <c r="C27" s="4" t="s">
        <v>329</v>
      </c>
      <c r="D27" s="4" t="s">
        <v>1354</v>
      </c>
    </row>
    <row r="28">
      <c r="A28" s="4" t="s">
        <v>1355</v>
      </c>
      <c r="B28" s="4" t="s">
        <v>1356</v>
      </c>
      <c r="C28" s="4" t="s">
        <v>339</v>
      </c>
      <c r="D28" s="4" t="s">
        <v>1357</v>
      </c>
    </row>
    <row r="29">
      <c r="A29" s="4" t="s">
        <v>1358</v>
      </c>
      <c r="B29" s="4" t="s">
        <v>1359</v>
      </c>
      <c r="C29" s="4" t="s">
        <v>329</v>
      </c>
      <c r="D29" s="4" t="s">
        <v>486</v>
      </c>
    </row>
    <row r="30">
      <c r="A30" s="4" t="s">
        <v>1360</v>
      </c>
      <c r="B30" s="4" t="s">
        <v>1361</v>
      </c>
      <c r="C30" s="4" t="s">
        <v>329</v>
      </c>
      <c r="D30" s="4" t="s">
        <v>1362</v>
      </c>
    </row>
    <row r="31">
      <c r="A31" s="4" t="s">
        <v>1363</v>
      </c>
      <c r="B31" s="4" t="s">
        <v>1364</v>
      </c>
      <c r="C31" s="4" t="s">
        <v>329</v>
      </c>
      <c r="D31" s="4" t="s">
        <v>1365</v>
      </c>
    </row>
    <row r="32">
      <c r="A32" s="4" t="s">
        <v>1366</v>
      </c>
      <c r="B32" s="4" t="s">
        <v>1367</v>
      </c>
      <c r="C32" s="4" t="s">
        <v>329</v>
      </c>
      <c r="D32" s="4" t="s">
        <v>1368</v>
      </c>
    </row>
    <row r="33">
      <c r="A33" s="4" t="s">
        <v>1369</v>
      </c>
      <c r="B33" s="4" t="s">
        <v>1370</v>
      </c>
      <c r="C33" s="4" t="s">
        <v>339</v>
      </c>
      <c r="D33" s="4" t="s">
        <v>1371</v>
      </c>
    </row>
    <row r="34">
      <c r="A34" s="4" t="s">
        <v>1372</v>
      </c>
      <c r="B34" s="4" t="s">
        <v>1373</v>
      </c>
      <c r="C34" s="4" t="s">
        <v>339</v>
      </c>
      <c r="D34" s="4" t="s">
        <v>1374</v>
      </c>
    </row>
    <row r="35">
      <c r="A35" s="4" t="s">
        <v>1375</v>
      </c>
      <c r="B35" s="4" t="s">
        <v>1376</v>
      </c>
      <c r="C35" s="4" t="s">
        <v>339</v>
      </c>
      <c r="D35" s="4" t="s">
        <v>1377</v>
      </c>
    </row>
    <row r="36">
      <c r="A36" s="4" t="s">
        <v>1378</v>
      </c>
      <c r="B36" s="4" t="s">
        <v>1379</v>
      </c>
      <c r="C36" s="4" t="s">
        <v>329</v>
      </c>
      <c r="D36" s="4" t="s">
        <v>694</v>
      </c>
    </row>
    <row r="37">
      <c r="A37" s="4" t="s">
        <v>1380</v>
      </c>
      <c r="B37" s="4" t="s">
        <v>1381</v>
      </c>
      <c r="C37" s="4" t="s">
        <v>339</v>
      </c>
      <c r="D37" s="4" t="s">
        <v>1382</v>
      </c>
    </row>
    <row r="38">
      <c r="A38" s="4" t="s">
        <v>1383</v>
      </c>
      <c r="B38" s="4" t="s">
        <v>1384</v>
      </c>
      <c r="C38" s="4" t="s">
        <v>329</v>
      </c>
      <c r="D38" s="4" t="s">
        <v>1385</v>
      </c>
    </row>
    <row r="39">
      <c r="A39" s="4" t="s">
        <v>1386</v>
      </c>
      <c r="B39" s="4" t="s">
        <v>1387</v>
      </c>
      <c r="C39" s="4" t="s">
        <v>339</v>
      </c>
      <c r="D39" s="4" t="s">
        <v>1388</v>
      </c>
    </row>
    <row r="40">
      <c r="A40" s="4" t="s">
        <v>1389</v>
      </c>
      <c r="B40" s="4" t="s">
        <v>1296</v>
      </c>
      <c r="C40" s="4" t="s">
        <v>339</v>
      </c>
      <c r="D40" s="4" t="s">
        <v>1390</v>
      </c>
    </row>
    <row r="41">
      <c r="A41" s="4" t="s">
        <v>1391</v>
      </c>
      <c r="B41" s="4" t="s">
        <v>1392</v>
      </c>
      <c r="C41" s="4" t="s">
        <v>339</v>
      </c>
      <c r="D41" s="4" t="s">
        <v>1393</v>
      </c>
    </row>
    <row r="42">
      <c r="A42" s="4" t="s">
        <v>1394</v>
      </c>
      <c r="B42" s="4" t="s">
        <v>1395</v>
      </c>
      <c r="C42" s="4" t="s">
        <v>329</v>
      </c>
      <c r="D42" s="4" t="s">
        <v>415</v>
      </c>
    </row>
    <row r="43">
      <c r="A43" s="4" t="s">
        <v>1396</v>
      </c>
      <c r="B43" s="4" t="s">
        <v>1397</v>
      </c>
      <c r="C43" s="4" t="s">
        <v>329</v>
      </c>
      <c r="D43" s="4" t="s">
        <v>1398</v>
      </c>
    </row>
    <row r="44">
      <c r="A44" s="4" t="s">
        <v>1399</v>
      </c>
      <c r="B44" s="4" t="s">
        <v>1400</v>
      </c>
      <c r="C44" s="4" t="s">
        <v>329</v>
      </c>
      <c r="D44" s="4" t="s">
        <v>1401</v>
      </c>
    </row>
    <row r="45">
      <c r="A45" s="4" t="s">
        <v>1402</v>
      </c>
      <c r="B45" s="4" t="s">
        <v>1403</v>
      </c>
      <c r="C45" s="4" t="s">
        <v>329</v>
      </c>
      <c r="D45" s="4" t="s">
        <v>1404</v>
      </c>
    </row>
    <row r="46">
      <c r="A46" s="4" t="s">
        <v>1405</v>
      </c>
      <c r="B46" s="4" t="s">
        <v>1406</v>
      </c>
      <c r="C46" s="4" t="s">
        <v>329</v>
      </c>
      <c r="D46" s="4" t="s">
        <v>1407</v>
      </c>
    </row>
    <row r="47">
      <c r="A47" s="4" t="s">
        <v>1408</v>
      </c>
      <c r="B47" s="4" t="s">
        <v>1303</v>
      </c>
      <c r="C47" s="4" t="s">
        <v>339</v>
      </c>
      <c r="D47" s="4" t="s">
        <v>1409</v>
      </c>
    </row>
    <row r="48">
      <c r="A48" s="4" t="s">
        <v>1410</v>
      </c>
      <c r="B48" s="4" t="s">
        <v>1411</v>
      </c>
      <c r="C48" s="4" t="s">
        <v>339</v>
      </c>
      <c r="D48" s="4" t="s">
        <v>1412</v>
      </c>
    </row>
    <row r="49">
      <c r="A49" s="4" t="s">
        <v>1413</v>
      </c>
      <c r="B49" s="4" t="s">
        <v>1414</v>
      </c>
      <c r="C49" s="4" t="s">
        <v>329</v>
      </c>
      <c r="D49" s="4" t="s">
        <v>1415</v>
      </c>
    </row>
    <row r="50">
      <c r="A50" s="4" t="s">
        <v>1416</v>
      </c>
      <c r="B50" s="4" t="s">
        <v>1417</v>
      </c>
      <c r="C50" s="4" t="s">
        <v>339</v>
      </c>
      <c r="D50" s="4" t="s">
        <v>1418</v>
      </c>
    </row>
    <row r="51">
      <c r="A51" s="4" t="s">
        <v>1419</v>
      </c>
      <c r="B51" s="4" t="s">
        <v>1420</v>
      </c>
      <c r="C51" s="4" t="s">
        <v>339</v>
      </c>
      <c r="D51" s="4" t="s">
        <v>1421</v>
      </c>
    </row>
    <row r="52">
      <c r="A52" s="4" t="s">
        <v>736</v>
      </c>
      <c r="B52" s="4" t="s">
        <v>737</v>
      </c>
      <c r="C52" s="4" t="s">
        <v>329</v>
      </c>
      <c r="D52" s="4" t="s">
        <v>1422</v>
      </c>
    </row>
    <row r="53">
      <c r="A53" s="4" t="s">
        <v>739</v>
      </c>
      <c r="B53" s="4" t="s">
        <v>740</v>
      </c>
      <c r="C53" s="4" t="s">
        <v>329</v>
      </c>
      <c r="D53" s="4" t="s">
        <v>1423</v>
      </c>
    </row>
    <row r="54">
      <c r="A54" s="4" t="s">
        <v>1424</v>
      </c>
      <c r="B54" s="4" t="s">
        <v>1083</v>
      </c>
      <c r="C54" s="4" t="s">
        <v>339</v>
      </c>
      <c r="D54" s="4" t="s">
        <v>1425</v>
      </c>
    </row>
    <row r="55">
      <c r="A55" s="4" t="s">
        <v>1426</v>
      </c>
      <c r="B55" s="4" t="s">
        <v>757</v>
      </c>
      <c r="C55" s="4" t="s">
        <v>329</v>
      </c>
      <c r="D55" s="4" t="s">
        <v>1427</v>
      </c>
    </row>
    <row r="56">
      <c r="A56" s="4" t="s">
        <v>1428</v>
      </c>
      <c r="B56" s="4" t="s">
        <v>1429</v>
      </c>
      <c r="C56" s="4" t="s">
        <v>329</v>
      </c>
      <c r="D56" s="4" t="s">
        <v>1430</v>
      </c>
    </row>
    <row r="57">
      <c r="A57" s="4" t="s">
        <v>1285</v>
      </c>
      <c r="B57" s="4" t="s">
        <v>1431</v>
      </c>
      <c r="C57" s="4" t="s">
        <v>339</v>
      </c>
      <c r="D57" s="4" t="s">
        <v>1432</v>
      </c>
    </row>
    <row r="58">
      <c r="A58" s="4" t="s">
        <v>1433</v>
      </c>
      <c r="B58" s="4" t="s">
        <v>1434</v>
      </c>
      <c r="C58" s="4" t="s">
        <v>339</v>
      </c>
      <c r="D58" s="4" t="s">
        <v>1435</v>
      </c>
    </row>
    <row r="59">
      <c r="A59" s="4" t="s">
        <v>1436</v>
      </c>
      <c r="B59" s="4" t="s">
        <v>1437</v>
      </c>
      <c r="C59" s="4" t="s">
        <v>329</v>
      </c>
      <c r="D59" s="4" t="s">
        <v>1438</v>
      </c>
    </row>
    <row r="60">
      <c r="A60" s="4" t="s">
        <v>1439</v>
      </c>
      <c r="B60" s="4" t="s">
        <v>1440</v>
      </c>
      <c r="C60" s="4" t="s">
        <v>339</v>
      </c>
      <c r="D60" s="4" t="s">
        <v>1441</v>
      </c>
    </row>
    <row r="61">
      <c r="A61" s="4" t="s">
        <v>1442</v>
      </c>
      <c r="B61" s="4" t="s">
        <v>1443</v>
      </c>
      <c r="C61" s="4" t="s">
        <v>329</v>
      </c>
      <c r="D61" s="4" t="s">
        <v>811</v>
      </c>
    </row>
    <row r="62">
      <c r="A62" s="4" t="s">
        <v>736</v>
      </c>
      <c r="B62" s="4" t="s">
        <v>737</v>
      </c>
      <c r="C62" s="4" t="s">
        <v>329</v>
      </c>
      <c r="D62" s="4" t="s">
        <v>1422</v>
      </c>
    </row>
    <row r="63">
      <c r="A63" s="4" t="s">
        <v>739</v>
      </c>
      <c r="B63" s="4" t="s">
        <v>740</v>
      </c>
      <c r="C63" s="4" t="s">
        <v>329</v>
      </c>
      <c r="D63" s="4" t="s">
        <v>1423</v>
      </c>
    </row>
    <row r="64">
      <c r="A64" s="4" t="s">
        <v>1424</v>
      </c>
      <c r="B64" s="4" t="s">
        <v>1083</v>
      </c>
      <c r="C64" s="4" t="s">
        <v>339</v>
      </c>
      <c r="D64" s="4" t="s">
        <v>1425</v>
      </c>
    </row>
    <row r="65">
      <c r="A65" s="4" t="s">
        <v>1444</v>
      </c>
      <c r="B65" s="4" t="s">
        <v>757</v>
      </c>
      <c r="C65" s="4" t="s">
        <v>329</v>
      </c>
      <c r="D65" s="4" t="s">
        <v>1427</v>
      </c>
    </row>
    <row r="66">
      <c r="A66" s="4" t="s">
        <v>758</v>
      </c>
      <c r="B66" s="4" t="s">
        <v>759</v>
      </c>
      <c r="C66" s="4" t="s">
        <v>329</v>
      </c>
      <c r="D66" s="4" t="s">
        <v>1445</v>
      </c>
    </row>
    <row r="67">
      <c r="A67" s="4" t="s">
        <v>1147</v>
      </c>
      <c r="B67" s="4" t="s">
        <v>1148</v>
      </c>
      <c r="C67" s="4" t="s">
        <v>329</v>
      </c>
      <c r="D67" s="4" t="s">
        <v>1446</v>
      </c>
    </row>
    <row r="68">
      <c r="A68" s="4" t="s">
        <v>761</v>
      </c>
      <c r="B68" s="4" t="s">
        <v>762</v>
      </c>
      <c r="C68" s="4" t="s">
        <v>339</v>
      </c>
      <c r="D68" s="4" t="s">
        <v>1447</v>
      </c>
    </row>
    <row r="69">
      <c r="A69" s="4" t="s">
        <v>1142</v>
      </c>
      <c r="B69" s="4" t="s">
        <v>1143</v>
      </c>
      <c r="C69" s="4" t="s">
        <v>329</v>
      </c>
      <c r="D69" s="4" t="s">
        <v>744</v>
      </c>
    </row>
    <row r="70">
      <c r="A70" s="4" t="s">
        <v>1144</v>
      </c>
      <c r="B70" s="4" t="s">
        <v>1145</v>
      </c>
      <c r="C70" s="4" t="s">
        <v>329</v>
      </c>
      <c r="D70" s="4" t="s">
        <v>415</v>
      </c>
    </row>
    <row r="71">
      <c r="A71" s="4" t="s">
        <v>1448</v>
      </c>
      <c r="B71" s="4" t="s">
        <v>1155</v>
      </c>
      <c r="C71" s="4" t="s">
        <v>339</v>
      </c>
      <c r="D71" s="4" t="s">
        <v>1449</v>
      </c>
    </row>
    <row r="72">
      <c r="A72" s="4" t="s">
        <v>1139</v>
      </c>
      <c r="B72" s="4" t="s">
        <v>1140</v>
      </c>
      <c r="C72" s="4" t="s">
        <v>329</v>
      </c>
      <c r="D72" s="4" t="s">
        <v>1450</v>
      </c>
    </row>
    <row r="73">
      <c r="A73" s="4" t="s">
        <v>1451</v>
      </c>
      <c r="B73" s="4" t="s">
        <v>1137</v>
      </c>
      <c r="C73" s="4" t="s">
        <v>339</v>
      </c>
      <c r="D73" s="4" t="s">
        <v>1452</v>
      </c>
    </row>
    <row r="74">
      <c r="A74" s="4" t="s">
        <v>1152</v>
      </c>
      <c r="B74" s="4" t="s">
        <v>1153</v>
      </c>
      <c r="C74" s="4" t="s">
        <v>329</v>
      </c>
      <c r="D74" s="4" t="s">
        <v>811</v>
      </c>
    </row>
    <row r="75">
      <c r="A75" s="4" t="s">
        <v>753</v>
      </c>
      <c r="B75" s="4" t="s">
        <v>754</v>
      </c>
      <c r="C75" s="4" t="s">
        <v>329</v>
      </c>
      <c r="D75" s="4" t="s">
        <v>1453</v>
      </c>
    </row>
    <row r="76">
      <c r="A76" s="4" t="s">
        <v>742</v>
      </c>
      <c r="B76" s="4" t="s">
        <v>743</v>
      </c>
      <c r="C76" s="4" t="s">
        <v>329</v>
      </c>
      <c r="D76" s="4" t="s">
        <v>744</v>
      </c>
    </row>
    <row r="77">
      <c r="A77" s="4" t="s">
        <v>745</v>
      </c>
      <c r="B77" s="4" t="s">
        <v>746</v>
      </c>
      <c r="C77" s="4" t="s">
        <v>329</v>
      </c>
      <c r="D77" s="4" t="s">
        <v>747</v>
      </c>
    </row>
    <row r="78">
      <c r="A78" s="4" t="s">
        <v>748</v>
      </c>
      <c r="B78" s="4" t="s">
        <v>414</v>
      </c>
      <c r="C78" s="4" t="s">
        <v>329</v>
      </c>
      <c r="D78" s="4" t="s">
        <v>749</v>
      </c>
    </row>
    <row r="79">
      <c r="A79" s="4" t="s">
        <v>750</v>
      </c>
      <c r="B79" s="4" t="s">
        <v>751</v>
      </c>
      <c r="C79" s="4" t="s">
        <v>339</v>
      </c>
      <c r="D79" s="4" t="s">
        <v>1454</v>
      </c>
    </row>
    <row r="80">
      <c r="A80" s="4" t="s">
        <v>736</v>
      </c>
      <c r="B80" s="4" t="s">
        <v>737</v>
      </c>
      <c r="C80" s="4" t="s">
        <v>329</v>
      </c>
      <c r="D80" s="4" t="s">
        <v>1422</v>
      </c>
    </row>
    <row r="81">
      <c r="A81" s="4" t="s">
        <v>739</v>
      </c>
      <c r="B81" s="4" t="s">
        <v>740</v>
      </c>
      <c r="C81" s="4" t="s">
        <v>329</v>
      </c>
      <c r="D81" s="4" t="s">
        <v>1423</v>
      </c>
    </row>
    <row r="82">
      <c r="A82" s="4" t="s">
        <v>1424</v>
      </c>
      <c r="B82" s="4" t="s">
        <v>1083</v>
      </c>
      <c r="C82" s="4" t="s">
        <v>339</v>
      </c>
      <c r="D82" s="4" t="s">
        <v>1425</v>
      </c>
    </row>
    <row r="83">
      <c r="A83" s="4" t="s">
        <v>1444</v>
      </c>
      <c r="B83" s="4" t="s">
        <v>757</v>
      </c>
      <c r="C83" s="4" t="s">
        <v>329</v>
      </c>
      <c r="D83" s="4" t="s">
        <v>1427</v>
      </c>
    </row>
    <row r="84">
      <c r="A84" s="4" t="s">
        <v>758</v>
      </c>
      <c r="B84" s="4" t="s">
        <v>759</v>
      </c>
      <c r="C84" s="4" t="s">
        <v>329</v>
      </c>
      <c r="D84" s="4" t="s">
        <v>1455</v>
      </c>
    </row>
    <row r="85">
      <c r="A85" s="4" t="s">
        <v>1150</v>
      </c>
      <c r="B85" s="4" t="s">
        <v>399</v>
      </c>
      <c r="C85" s="4" t="s">
        <v>329</v>
      </c>
      <c r="D85" s="4" t="s">
        <v>1456</v>
      </c>
    </row>
    <row r="86">
      <c r="A86" s="4" t="s">
        <v>1152</v>
      </c>
      <c r="B86" s="4" t="s">
        <v>1153</v>
      </c>
      <c r="C86" s="4" t="s">
        <v>329</v>
      </c>
      <c r="D86" s="4" t="s">
        <v>811</v>
      </c>
    </row>
    <row r="87">
      <c r="A87" s="4" t="s">
        <v>1139</v>
      </c>
      <c r="B87" s="4" t="s">
        <v>1140</v>
      </c>
      <c r="C87" s="4" t="s">
        <v>329</v>
      </c>
      <c r="D87" s="4" t="s">
        <v>1450</v>
      </c>
    </row>
    <row r="88">
      <c r="A88" s="4" t="s">
        <v>1142</v>
      </c>
      <c r="B88" s="4" t="s">
        <v>1143</v>
      </c>
      <c r="C88" s="4" t="s">
        <v>329</v>
      </c>
      <c r="D88" s="4" t="s">
        <v>744</v>
      </c>
    </row>
    <row r="89">
      <c r="A89" s="4" t="s">
        <v>1144</v>
      </c>
      <c r="B89" s="4" t="s">
        <v>1145</v>
      </c>
      <c r="C89" s="4" t="s">
        <v>329</v>
      </c>
      <c r="D89" s="4" t="s">
        <v>415</v>
      </c>
    </row>
    <row r="90">
      <c r="A90" s="4" t="s">
        <v>1147</v>
      </c>
      <c r="B90" s="4" t="s">
        <v>1148</v>
      </c>
      <c r="C90" s="4" t="s">
        <v>329</v>
      </c>
      <c r="D90" s="4" t="s">
        <v>1446</v>
      </c>
    </row>
    <row r="91">
      <c r="A91" s="4" t="s">
        <v>761</v>
      </c>
      <c r="B91" s="4" t="s">
        <v>762</v>
      </c>
      <c r="C91" s="4" t="s">
        <v>339</v>
      </c>
      <c r="D91" s="4" t="s">
        <v>1447</v>
      </c>
    </row>
    <row r="92">
      <c r="A92" s="4" t="s">
        <v>1448</v>
      </c>
      <c r="B92" s="4" t="s">
        <v>1155</v>
      </c>
      <c r="C92" s="4" t="s">
        <v>339</v>
      </c>
      <c r="D92" s="4" t="s">
        <v>1449</v>
      </c>
    </row>
    <row r="93">
      <c r="A93" s="4" t="s">
        <v>1451</v>
      </c>
      <c r="B93" s="4" t="s">
        <v>1137</v>
      </c>
      <c r="C93" s="4" t="s">
        <v>339</v>
      </c>
      <c r="D93" s="4" t="s">
        <v>367</v>
      </c>
    </row>
    <row r="94">
      <c r="A94" s="4" t="s">
        <v>756</v>
      </c>
      <c r="B94" s="4" t="s">
        <v>757</v>
      </c>
      <c r="C94" s="4" t="s">
        <v>329</v>
      </c>
      <c r="D94" s="4" t="s">
        <v>1427</v>
      </c>
    </row>
    <row r="95">
      <c r="A95" s="5"/>
      <c r="B95" s="5"/>
      <c r="C95" s="5"/>
      <c r="D95" s="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9"/>
    <hyperlink r:id="rId15" ref="B23"/>
    <hyperlink r:id="rId16" ref="B24"/>
  </hyperlinks>
  <drawing r:id="rId17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1084</v>
      </c>
      <c r="B1" s="1" t="s">
        <v>1457</v>
      </c>
      <c r="D1" s="1" t="s">
        <v>1458</v>
      </c>
    </row>
    <row r="2">
      <c r="A2" s="1" t="s">
        <v>1459</v>
      </c>
      <c r="B2" s="16" t="s">
        <v>1460</v>
      </c>
      <c r="D2" s="10" t="s">
        <v>1461</v>
      </c>
    </row>
    <row r="3">
      <c r="A3" s="1" t="s">
        <v>1462</v>
      </c>
      <c r="B3" s="16" t="s">
        <v>1463</v>
      </c>
      <c r="D3" s="10" t="s">
        <v>1464</v>
      </c>
    </row>
    <row r="4">
      <c r="A4" s="1" t="s">
        <v>1465</v>
      </c>
      <c r="B4" s="16" t="s">
        <v>1466</v>
      </c>
      <c r="C4" s="4" t="s">
        <v>339</v>
      </c>
      <c r="D4" s="1" t="s">
        <v>1185</v>
      </c>
    </row>
    <row r="5">
      <c r="A5" s="1" t="s">
        <v>1467</v>
      </c>
      <c r="B5" s="10" t="s">
        <v>1468</v>
      </c>
      <c r="C5" s="4" t="s">
        <v>339</v>
      </c>
      <c r="D5" s="1" t="s">
        <v>1185</v>
      </c>
    </row>
    <row r="6">
      <c r="A6" s="1" t="s">
        <v>1469</v>
      </c>
      <c r="B6" s="10" t="s">
        <v>1470</v>
      </c>
      <c r="D6" s="10" t="s">
        <v>1471</v>
      </c>
    </row>
    <row r="7">
      <c r="A7" s="1" t="s">
        <v>1472</v>
      </c>
      <c r="B7" s="16" t="s">
        <v>1473</v>
      </c>
      <c r="D7" s="10" t="s">
        <v>1474</v>
      </c>
    </row>
    <row r="8">
      <c r="A8" s="1" t="s">
        <v>1475</v>
      </c>
      <c r="B8" s="10" t="s">
        <v>1476</v>
      </c>
      <c r="C8" s="1" t="s">
        <v>339</v>
      </c>
      <c r="D8" s="1" t="s">
        <v>1185</v>
      </c>
    </row>
    <row r="9">
      <c r="A9" s="4" t="s">
        <v>812</v>
      </c>
      <c r="B9" s="4" t="s">
        <v>813</v>
      </c>
      <c r="C9" s="4" t="s">
        <v>329</v>
      </c>
      <c r="D9" s="4" t="s">
        <v>808</v>
      </c>
    </row>
    <row r="10">
      <c r="A10" s="4" t="s">
        <v>1477</v>
      </c>
      <c r="B10" s="4" t="s">
        <v>815</v>
      </c>
      <c r="C10" s="4" t="s">
        <v>329</v>
      </c>
      <c r="D10" s="4" t="s">
        <v>816</v>
      </c>
    </row>
    <row r="11">
      <c r="A11" s="4" t="s">
        <v>817</v>
      </c>
      <c r="B11" s="4" t="s">
        <v>818</v>
      </c>
      <c r="C11" s="4" t="s">
        <v>329</v>
      </c>
      <c r="D11" s="4" t="s">
        <v>735</v>
      </c>
    </row>
    <row r="12">
      <c r="A12" s="4" t="s">
        <v>1478</v>
      </c>
      <c r="B12" s="4" t="s">
        <v>820</v>
      </c>
      <c r="C12" s="4" t="s">
        <v>329</v>
      </c>
      <c r="D12" s="4" t="s">
        <v>821</v>
      </c>
    </row>
    <row r="13">
      <c r="A13" s="4" t="s">
        <v>822</v>
      </c>
      <c r="B13" s="4" t="s">
        <v>823</v>
      </c>
      <c r="C13" s="4" t="s">
        <v>329</v>
      </c>
      <c r="D13" s="4" t="s">
        <v>824</v>
      </c>
    </row>
    <row r="14">
      <c r="A14" s="4" t="s">
        <v>1479</v>
      </c>
      <c r="B14" s="4" t="s">
        <v>1480</v>
      </c>
      <c r="C14" s="4" t="s">
        <v>329</v>
      </c>
      <c r="D14" s="4" t="s">
        <v>1481</v>
      </c>
    </row>
    <row r="15">
      <c r="A15" s="4" t="s">
        <v>736</v>
      </c>
      <c r="B15" s="4" t="s">
        <v>737</v>
      </c>
      <c r="C15" s="4" t="s">
        <v>329</v>
      </c>
      <c r="D15" s="4" t="s">
        <v>738</v>
      </c>
    </row>
    <row r="16">
      <c r="A16" s="4" t="s">
        <v>739</v>
      </c>
      <c r="B16" s="4" t="s">
        <v>740</v>
      </c>
      <c r="C16" s="4" t="s">
        <v>329</v>
      </c>
      <c r="D16" s="4" t="s">
        <v>741</v>
      </c>
    </row>
    <row r="17">
      <c r="A17" s="4" t="s">
        <v>742</v>
      </c>
      <c r="B17" s="4" t="s">
        <v>743</v>
      </c>
      <c r="C17" s="4" t="s">
        <v>329</v>
      </c>
      <c r="D17" s="4" t="s">
        <v>744</v>
      </c>
    </row>
    <row r="18">
      <c r="A18" s="4" t="s">
        <v>745</v>
      </c>
      <c r="B18" s="4" t="s">
        <v>746</v>
      </c>
      <c r="C18" s="4" t="s">
        <v>329</v>
      </c>
      <c r="D18" s="4" t="s">
        <v>747</v>
      </c>
    </row>
    <row r="19">
      <c r="A19" s="4" t="s">
        <v>748</v>
      </c>
      <c r="B19" s="4" t="s">
        <v>414</v>
      </c>
      <c r="C19" s="4" t="s">
        <v>329</v>
      </c>
      <c r="D19" s="4" t="s">
        <v>749</v>
      </c>
    </row>
    <row r="20">
      <c r="A20" s="4" t="s">
        <v>750</v>
      </c>
      <c r="B20" s="4" t="s">
        <v>751</v>
      </c>
      <c r="C20" s="4" t="s">
        <v>339</v>
      </c>
      <c r="D20" s="4" t="s">
        <v>752</v>
      </c>
    </row>
    <row r="21">
      <c r="A21" s="4" t="s">
        <v>753</v>
      </c>
      <c r="B21" s="4" t="s">
        <v>754</v>
      </c>
      <c r="C21" s="4" t="s">
        <v>329</v>
      </c>
      <c r="D21" s="4" t="s">
        <v>755</v>
      </c>
    </row>
    <row r="22">
      <c r="A22" s="4" t="s">
        <v>756</v>
      </c>
      <c r="B22" s="4" t="s">
        <v>757</v>
      </c>
      <c r="C22" s="4" t="s">
        <v>329</v>
      </c>
      <c r="D22" s="4" t="s">
        <v>735</v>
      </c>
    </row>
    <row r="23">
      <c r="A23" s="4" t="s">
        <v>758</v>
      </c>
      <c r="B23" s="4" t="s">
        <v>759</v>
      </c>
      <c r="C23" s="4" t="s">
        <v>329</v>
      </c>
      <c r="D23" s="4" t="s">
        <v>760</v>
      </c>
    </row>
    <row r="24">
      <c r="A24" s="4" t="s">
        <v>761</v>
      </c>
      <c r="B24" s="4" t="s">
        <v>762</v>
      </c>
      <c r="C24" s="4" t="s">
        <v>339</v>
      </c>
      <c r="D24" s="4" t="s">
        <v>763</v>
      </c>
    </row>
    <row r="25">
      <c r="A25" s="4" t="s">
        <v>764</v>
      </c>
      <c r="B25" s="4" t="s">
        <v>765</v>
      </c>
      <c r="C25" s="4" t="s">
        <v>329</v>
      </c>
      <c r="D25" s="4" t="s">
        <v>766</v>
      </c>
    </row>
    <row r="26">
      <c r="A26" s="4" t="s">
        <v>767</v>
      </c>
      <c r="B26" s="4" t="s">
        <v>768</v>
      </c>
      <c r="C26" s="4" t="s">
        <v>329</v>
      </c>
      <c r="D26" s="4" t="s">
        <v>769</v>
      </c>
    </row>
    <row r="27">
      <c r="A27" s="4" t="s">
        <v>770</v>
      </c>
      <c r="B27" s="4" t="s">
        <v>771</v>
      </c>
      <c r="C27" s="4" t="s">
        <v>329</v>
      </c>
      <c r="D27" s="4" t="s">
        <v>772</v>
      </c>
    </row>
    <row r="28">
      <c r="A28" s="4" t="s">
        <v>773</v>
      </c>
      <c r="B28" s="4" t="s">
        <v>774</v>
      </c>
      <c r="C28" s="4" t="s">
        <v>329</v>
      </c>
      <c r="D28" s="4" t="s">
        <v>775</v>
      </c>
    </row>
    <row r="29">
      <c r="A29" s="4" t="s">
        <v>776</v>
      </c>
      <c r="B29" s="4" t="s">
        <v>777</v>
      </c>
      <c r="C29" s="4" t="s">
        <v>329</v>
      </c>
      <c r="D29" s="4" t="s">
        <v>778</v>
      </c>
    </row>
    <row r="30">
      <c r="A30" s="4" t="s">
        <v>779</v>
      </c>
      <c r="B30" s="4" t="s">
        <v>780</v>
      </c>
      <c r="C30" s="4" t="s">
        <v>329</v>
      </c>
      <c r="D30" s="4" t="s">
        <v>781</v>
      </c>
    </row>
    <row r="31">
      <c r="A31" s="4" t="s">
        <v>782</v>
      </c>
      <c r="B31" s="4" t="s">
        <v>783</v>
      </c>
      <c r="C31" s="4" t="s">
        <v>329</v>
      </c>
      <c r="D31" s="4" t="s">
        <v>784</v>
      </c>
    </row>
    <row r="32">
      <c r="A32" s="4" t="s">
        <v>785</v>
      </c>
      <c r="B32" s="4" t="s">
        <v>786</v>
      </c>
      <c r="C32" s="4" t="s">
        <v>339</v>
      </c>
      <c r="D32" s="4" t="s">
        <v>787</v>
      </c>
    </row>
    <row r="33">
      <c r="A33" s="4" t="s">
        <v>788</v>
      </c>
      <c r="B33" s="4" t="s">
        <v>789</v>
      </c>
      <c r="C33" s="4" t="s">
        <v>329</v>
      </c>
      <c r="D33" s="4" t="s">
        <v>790</v>
      </c>
    </row>
    <row r="34">
      <c r="A34" s="4" t="s">
        <v>791</v>
      </c>
      <c r="B34" s="4" t="s">
        <v>792</v>
      </c>
      <c r="C34" s="4" t="s">
        <v>329</v>
      </c>
      <c r="D34" s="4" t="s">
        <v>793</v>
      </c>
    </row>
    <row r="35">
      <c r="A35" s="4" t="s">
        <v>794</v>
      </c>
      <c r="B35" s="4" t="s">
        <v>795</v>
      </c>
      <c r="C35" s="4" t="s">
        <v>329</v>
      </c>
      <c r="D35" s="4" t="s">
        <v>796</v>
      </c>
    </row>
    <row r="36">
      <c r="A36" s="4" t="s">
        <v>797</v>
      </c>
      <c r="B36" s="4" t="s">
        <v>798</v>
      </c>
      <c r="C36" s="4" t="s">
        <v>339</v>
      </c>
      <c r="D36" s="4" t="s">
        <v>799</v>
      </c>
    </row>
    <row r="37">
      <c r="A37" s="4" t="s">
        <v>803</v>
      </c>
      <c r="B37" s="4" t="s">
        <v>804</v>
      </c>
      <c r="C37" s="4" t="s">
        <v>329</v>
      </c>
      <c r="D37" s="4" t="s">
        <v>805</v>
      </c>
    </row>
    <row r="38">
      <c r="A38" s="8" t="s">
        <v>806</v>
      </c>
      <c r="B38" s="4" t="s">
        <v>807</v>
      </c>
      <c r="C38" s="4" t="s">
        <v>329</v>
      </c>
      <c r="D38" s="4" t="s">
        <v>808</v>
      </c>
    </row>
    <row r="39">
      <c r="A39" s="4" t="s">
        <v>1482</v>
      </c>
      <c r="B39" s="4" t="s">
        <v>1483</v>
      </c>
      <c r="C39" s="4" t="s">
        <v>339</v>
      </c>
      <c r="D39" s="4" t="s">
        <v>1484</v>
      </c>
    </row>
    <row r="40">
      <c r="A40" s="4" t="s">
        <v>809</v>
      </c>
      <c r="B40" s="4" t="s">
        <v>810</v>
      </c>
      <c r="C40" s="4" t="s">
        <v>329</v>
      </c>
      <c r="D40" s="4" t="s">
        <v>1485</v>
      </c>
    </row>
    <row r="41">
      <c r="A41" s="4" t="s">
        <v>1486</v>
      </c>
      <c r="B41" s="4" t="s">
        <v>813</v>
      </c>
      <c r="C41" s="4" t="s">
        <v>329</v>
      </c>
      <c r="D41" s="4" t="s">
        <v>769</v>
      </c>
    </row>
    <row r="42">
      <c r="A42" s="4" t="s">
        <v>814</v>
      </c>
      <c r="B42" s="4" t="s">
        <v>815</v>
      </c>
      <c r="C42" s="4" t="s">
        <v>329</v>
      </c>
      <c r="D42" s="4" t="s">
        <v>816</v>
      </c>
    </row>
    <row r="43">
      <c r="A43" s="4" t="s">
        <v>817</v>
      </c>
      <c r="B43" s="4" t="s">
        <v>818</v>
      </c>
      <c r="C43" s="4" t="s">
        <v>329</v>
      </c>
      <c r="D43" s="4" t="s">
        <v>735</v>
      </c>
    </row>
    <row r="44">
      <c r="A44" s="4" t="s">
        <v>819</v>
      </c>
      <c r="B44" s="4" t="s">
        <v>820</v>
      </c>
      <c r="C44" s="4" t="s">
        <v>329</v>
      </c>
      <c r="D44" s="4" t="s">
        <v>821</v>
      </c>
    </row>
    <row r="45">
      <c r="A45" s="4" t="s">
        <v>822</v>
      </c>
      <c r="B45" s="4" t="s">
        <v>823</v>
      </c>
      <c r="C45" s="4" t="s">
        <v>329</v>
      </c>
      <c r="D45" s="4" t="s">
        <v>824</v>
      </c>
    </row>
    <row r="46">
      <c r="A46" s="4" t="s">
        <v>1479</v>
      </c>
      <c r="B46" s="4" t="s">
        <v>1480</v>
      </c>
      <c r="C46" s="4" t="s">
        <v>329</v>
      </c>
      <c r="D46" s="4" t="s">
        <v>1481</v>
      </c>
    </row>
    <row r="47">
      <c r="A47" s="4" t="s">
        <v>736</v>
      </c>
      <c r="B47" s="4" t="s">
        <v>737</v>
      </c>
      <c r="C47" s="4" t="s">
        <v>329</v>
      </c>
      <c r="D47" s="4" t="s">
        <v>738</v>
      </c>
    </row>
    <row r="48">
      <c r="A48" s="4" t="s">
        <v>739</v>
      </c>
      <c r="B48" s="4" t="s">
        <v>740</v>
      </c>
      <c r="C48" s="4" t="s">
        <v>329</v>
      </c>
      <c r="D48" s="4" t="s">
        <v>741</v>
      </c>
    </row>
    <row r="49">
      <c r="A49" s="4" t="s">
        <v>742</v>
      </c>
      <c r="B49" s="4" t="s">
        <v>743</v>
      </c>
      <c r="C49" s="4" t="s">
        <v>329</v>
      </c>
      <c r="D49" s="4" t="s">
        <v>744</v>
      </c>
    </row>
    <row r="50">
      <c r="A50" s="4" t="s">
        <v>745</v>
      </c>
      <c r="B50" s="4" t="s">
        <v>746</v>
      </c>
      <c r="C50" s="4" t="s">
        <v>329</v>
      </c>
      <c r="D50" s="4" t="s">
        <v>747</v>
      </c>
    </row>
    <row r="51">
      <c r="A51" s="4" t="s">
        <v>748</v>
      </c>
      <c r="B51" s="4" t="s">
        <v>414</v>
      </c>
      <c r="C51" s="4" t="s">
        <v>329</v>
      </c>
      <c r="D51" s="4" t="s">
        <v>749</v>
      </c>
    </row>
    <row r="52">
      <c r="A52" s="4" t="s">
        <v>750</v>
      </c>
      <c r="B52" s="4" t="s">
        <v>751</v>
      </c>
      <c r="C52" s="4" t="s">
        <v>339</v>
      </c>
      <c r="D52" s="4" t="s">
        <v>752</v>
      </c>
    </row>
    <row r="53">
      <c r="A53" s="4" t="s">
        <v>753</v>
      </c>
      <c r="B53" s="4" t="s">
        <v>754</v>
      </c>
      <c r="C53" s="4" t="s">
        <v>329</v>
      </c>
      <c r="D53" s="4" t="s">
        <v>755</v>
      </c>
    </row>
    <row r="54">
      <c r="A54" s="4" t="s">
        <v>756</v>
      </c>
      <c r="B54" s="4" t="s">
        <v>757</v>
      </c>
      <c r="C54" s="4" t="s">
        <v>329</v>
      </c>
      <c r="D54" s="4" t="s">
        <v>735</v>
      </c>
    </row>
    <row r="55">
      <c r="A55" s="4" t="s">
        <v>758</v>
      </c>
      <c r="B55" s="4" t="s">
        <v>759</v>
      </c>
      <c r="C55" s="4" t="s">
        <v>329</v>
      </c>
      <c r="D55" s="4" t="s">
        <v>760</v>
      </c>
    </row>
    <row r="56">
      <c r="A56" s="4" t="s">
        <v>761</v>
      </c>
      <c r="B56" s="4" t="s">
        <v>762</v>
      </c>
      <c r="C56" s="4" t="s">
        <v>339</v>
      </c>
      <c r="D56" s="4" t="s">
        <v>763</v>
      </c>
    </row>
    <row r="57">
      <c r="A57" s="4" t="s">
        <v>764</v>
      </c>
      <c r="B57" s="4" t="s">
        <v>765</v>
      </c>
      <c r="C57" s="4" t="s">
        <v>329</v>
      </c>
      <c r="D57" s="4" t="s">
        <v>766</v>
      </c>
    </row>
    <row r="58">
      <c r="A58" s="4" t="s">
        <v>767</v>
      </c>
      <c r="B58" s="4" t="s">
        <v>768</v>
      </c>
      <c r="C58" s="4" t="s">
        <v>329</v>
      </c>
      <c r="D58" s="4" t="s">
        <v>769</v>
      </c>
    </row>
    <row r="59">
      <c r="A59" s="5"/>
      <c r="B59" s="5"/>
      <c r="C59" s="5"/>
      <c r="D59" s="5"/>
    </row>
  </sheetData>
  <hyperlinks>
    <hyperlink r:id="rId1" ref="B2"/>
    <hyperlink r:id="rId2" ref="D2"/>
    <hyperlink r:id="rId3" ref="B3"/>
    <hyperlink r:id="rId4" ref="D3"/>
    <hyperlink r:id="rId5" ref="B4"/>
    <hyperlink r:id="rId6" ref="B5"/>
    <hyperlink r:id="rId7" ref="B6"/>
    <hyperlink r:id="rId8" ref="D6"/>
    <hyperlink r:id="rId9" ref="B7"/>
    <hyperlink r:id="rId10" ref="D7"/>
    <hyperlink r:id="rId11" ref="B8"/>
    <hyperlink r:id="rId12" ref="A38"/>
  </hyperlinks>
  <drawing r:id="rId1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1487</v>
      </c>
      <c r="B1" s="4" t="s">
        <v>1488</v>
      </c>
      <c r="C1" s="4" t="s">
        <v>329</v>
      </c>
      <c r="D1" s="4" t="s">
        <v>1489</v>
      </c>
    </row>
    <row r="2">
      <c r="A2" s="4" t="s">
        <v>1490</v>
      </c>
      <c r="B2" s="4" t="s">
        <v>1491</v>
      </c>
      <c r="C2" s="4" t="s">
        <v>329</v>
      </c>
      <c r="D2" s="4" t="s">
        <v>1492</v>
      </c>
    </row>
    <row r="3">
      <c r="A3" s="4" t="s">
        <v>1493</v>
      </c>
      <c r="B3" s="4" t="s">
        <v>1494</v>
      </c>
      <c r="C3" s="4" t="s">
        <v>329</v>
      </c>
      <c r="D3" s="4" t="s">
        <v>1495</v>
      </c>
    </row>
    <row r="4">
      <c r="A4" s="4" t="s">
        <v>1496</v>
      </c>
      <c r="B4" s="4" t="s">
        <v>1497</v>
      </c>
      <c r="C4" s="4" t="s">
        <v>329</v>
      </c>
      <c r="D4" s="4" t="s">
        <v>1498</v>
      </c>
    </row>
    <row r="5">
      <c r="A5" s="4" t="s">
        <v>1499</v>
      </c>
      <c r="B5" s="4" t="s">
        <v>1500</v>
      </c>
      <c r="C5" s="4" t="s">
        <v>329</v>
      </c>
      <c r="D5" s="4" t="s">
        <v>1501</v>
      </c>
    </row>
    <row r="6">
      <c r="A6" s="4" t="s">
        <v>1502</v>
      </c>
      <c r="B6" s="4" t="s">
        <v>1503</v>
      </c>
      <c r="C6" s="4" t="s">
        <v>339</v>
      </c>
      <c r="D6" s="4" t="s">
        <v>1504</v>
      </c>
    </row>
    <row r="7">
      <c r="A7" s="4" t="s">
        <v>1167</v>
      </c>
      <c r="B7" s="4" t="s">
        <v>1505</v>
      </c>
      <c r="C7" s="4" t="s">
        <v>339</v>
      </c>
      <c r="D7" s="4" t="s">
        <v>1506</v>
      </c>
    </row>
    <row r="8">
      <c r="A8" s="4" t="s">
        <v>1507</v>
      </c>
      <c r="B8" s="4" t="s">
        <v>1508</v>
      </c>
      <c r="C8" s="4" t="s">
        <v>339</v>
      </c>
      <c r="D8" s="4" t="s">
        <v>1509</v>
      </c>
    </row>
    <row r="9">
      <c r="A9" s="4" t="s">
        <v>1510</v>
      </c>
      <c r="B9" s="4" t="s">
        <v>1511</v>
      </c>
      <c r="C9" s="4" t="s">
        <v>325</v>
      </c>
      <c r="D9" s="4" t="s">
        <v>1512</v>
      </c>
    </row>
    <row r="10">
      <c r="A10" s="4" t="s">
        <v>1513</v>
      </c>
      <c r="B10" s="4" t="s">
        <v>1514</v>
      </c>
      <c r="C10" s="4" t="s">
        <v>325</v>
      </c>
      <c r="D10" s="4" t="s">
        <v>1515</v>
      </c>
    </row>
    <row r="11">
      <c r="A11" s="4" t="s">
        <v>1516</v>
      </c>
      <c r="B11" s="4" t="s">
        <v>1517</v>
      </c>
      <c r="C11" s="4" t="s">
        <v>325</v>
      </c>
      <c r="D11" s="4" t="s">
        <v>1518</v>
      </c>
    </row>
    <row r="12">
      <c r="A12" s="4" t="s">
        <v>1519</v>
      </c>
      <c r="B12" s="4" t="s">
        <v>1520</v>
      </c>
      <c r="C12" s="4" t="s">
        <v>325</v>
      </c>
      <c r="D12" s="4" t="s">
        <v>1521</v>
      </c>
    </row>
    <row r="13">
      <c r="A13" s="4" t="s">
        <v>1522</v>
      </c>
      <c r="B13" s="4" t="s">
        <v>1523</v>
      </c>
      <c r="C13" s="4" t="s">
        <v>329</v>
      </c>
      <c r="D13" s="4" t="s">
        <v>1524</v>
      </c>
    </row>
    <row r="14">
      <c r="A14" s="4" t="s">
        <v>1519</v>
      </c>
      <c r="B14" s="4" t="s">
        <v>1525</v>
      </c>
      <c r="C14" s="4" t="s">
        <v>329</v>
      </c>
      <c r="D14" s="4" t="s">
        <v>1526</v>
      </c>
    </row>
    <row r="15">
      <c r="A15" s="4" t="s">
        <v>1167</v>
      </c>
      <c r="B15" s="4" t="s">
        <v>1527</v>
      </c>
      <c r="C15" s="4" t="s">
        <v>339</v>
      </c>
      <c r="D15" s="4" t="s">
        <v>1528</v>
      </c>
    </row>
    <row r="16">
      <c r="A16" s="4" t="s">
        <v>764</v>
      </c>
      <c r="B16" s="4" t="s">
        <v>765</v>
      </c>
      <c r="C16" s="4" t="s">
        <v>329</v>
      </c>
      <c r="D16" s="4" t="s">
        <v>766</v>
      </c>
    </row>
    <row r="17">
      <c r="A17" s="4" t="s">
        <v>736</v>
      </c>
      <c r="B17" s="4" t="s">
        <v>737</v>
      </c>
      <c r="C17" s="4" t="s">
        <v>329</v>
      </c>
      <c r="D17" s="4" t="s">
        <v>738</v>
      </c>
    </row>
    <row r="18">
      <c r="A18" s="4" t="s">
        <v>739</v>
      </c>
      <c r="B18" s="4" t="s">
        <v>740</v>
      </c>
      <c r="C18" s="4" t="s">
        <v>329</v>
      </c>
      <c r="D18" s="4" t="s">
        <v>741</v>
      </c>
    </row>
    <row r="19">
      <c r="A19" s="4" t="s">
        <v>742</v>
      </c>
      <c r="B19" s="4" t="s">
        <v>743</v>
      </c>
      <c r="C19" s="4" t="s">
        <v>329</v>
      </c>
      <c r="D19" s="4" t="s">
        <v>744</v>
      </c>
    </row>
    <row r="20">
      <c r="A20" s="4" t="s">
        <v>745</v>
      </c>
      <c r="B20" s="4" t="s">
        <v>746</v>
      </c>
      <c r="C20" s="4" t="s">
        <v>329</v>
      </c>
      <c r="D20" s="4" t="s">
        <v>747</v>
      </c>
    </row>
    <row r="21">
      <c r="A21" s="4" t="s">
        <v>748</v>
      </c>
      <c r="B21" s="4" t="s">
        <v>414</v>
      </c>
      <c r="C21" s="4" t="s">
        <v>329</v>
      </c>
      <c r="D21" s="4" t="s">
        <v>749</v>
      </c>
    </row>
    <row r="22">
      <c r="A22" s="4" t="s">
        <v>750</v>
      </c>
      <c r="B22" s="4" t="s">
        <v>751</v>
      </c>
      <c r="C22" s="4" t="s">
        <v>339</v>
      </c>
      <c r="D22" s="4" t="s">
        <v>752</v>
      </c>
    </row>
    <row r="23">
      <c r="A23" s="4" t="s">
        <v>753</v>
      </c>
      <c r="B23" s="4" t="s">
        <v>754</v>
      </c>
      <c r="C23" s="4" t="s">
        <v>329</v>
      </c>
      <c r="D23" s="4" t="s">
        <v>755</v>
      </c>
    </row>
    <row r="24">
      <c r="A24" s="4" t="s">
        <v>756</v>
      </c>
      <c r="B24" s="4" t="s">
        <v>757</v>
      </c>
      <c r="C24" s="4" t="s">
        <v>329</v>
      </c>
      <c r="D24" s="4" t="s">
        <v>735</v>
      </c>
    </row>
    <row r="25">
      <c r="A25" s="4" t="s">
        <v>758</v>
      </c>
      <c r="B25" s="4" t="s">
        <v>759</v>
      </c>
      <c r="C25" s="4" t="s">
        <v>329</v>
      </c>
      <c r="D25" s="4" t="s">
        <v>760</v>
      </c>
    </row>
    <row r="26">
      <c r="A26" s="4" t="s">
        <v>761</v>
      </c>
      <c r="B26" s="4" t="s">
        <v>762</v>
      </c>
      <c r="C26" s="4" t="s">
        <v>339</v>
      </c>
      <c r="D26" s="4" t="s">
        <v>763</v>
      </c>
    </row>
    <row r="27">
      <c r="A27" s="4" t="s">
        <v>767</v>
      </c>
      <c r="B27" s="4" t="s">
        <v>768</v>
      </c>
      <c r="C27" s="4" t="s">
        <v>329</v>
      </c>
      <c r="D27" s="4" t="s">
        <v>769</v>
      </c>
    </row>
    <row r="28">
      <c r="A28" s="4" t="s">
        <v>770</v>
      </c>
      <c r="B28" s="4" t="s">
        <v>771</v>
      </c>
      <c r="C28" s="4" t="s">
        <v>329</v>
      </c>
      <c r="D28" s="4" t="s">
        <v>772</v>
      </c>
    </row>
    <row r="29">
      <c r="A29" s="4" t="s">
        <v>773</v>
      </c>
      <c r="B29" s="4" t="s">
        <v>774</v>
      </c>
      <c r="C29" s="4" t="s">
        <v>329</v>
      </c>
      <c r="D29" s="4" t="s">
        <v>775</v>
      </c>
    </row>
    <row r="30">
      <c r="A30" s="4" t="s">
        <v>776</v>
      </c>
      <c r="B30" s="4" t="s">
        <v>777</v>
      </c>
      <c r="C30" s="4" t="s">
        <v>329</v>
      </c>
      <c r="D30" s="4" t="s">
        <v>1529</v>
      </c>
    </row>
    <row r="31">
      <c r="A31" s="4" t="s">
        <v>779</v>
      </c>
      <c r="B31" s="4" t="s">
        <v>780</v>
      </c>
      <c r="C31" s="4" t="s">
        <v>329</v>
      </c>
      <c r="D31" s="4" t="s">
        <v>781</v>
      </c>
    </row>
    <row r="32">
      <c r="A32" s="4" t="s">
        <v>782</v>
      </c>
      <c r="B32" s="4" t="s">
        <v>783</v>
      </c>
      <c r="C32" s="4" t="s">
        <v>329</v>
      </c>
      <c r="D32" s="4" t="s">
        <v>784</v>
      </c>
    </row>
    <row r="33">
      <c r="A33" s="4" t="s">
        <v>785</v>
      </c>
      <c r="B33" s="4" t="s">
        <v>786</v>
      </c>
      <c r="C33" s="4" t="s">
        <v>339</v>
      </c>
      <c r="D33" s="4" t="s">
        <v>787</v>
      </c>
    </row>
    <row r="34">
      <c r="A34" s="4" t="s">
        <v>788</v>
      </c>
      <c r="B34" s="4" t="s">
        <v>789</v>
      </c>
      <c r="C34" s="4" t="s">
        <v>329</v>
      </c>
      <c r="D34" s="4" t="s">
        <v>790</v>
      </c>
    </row>
    <row r="35">
      <c r="A35" s="4" t="s">
        <v>791</v>
      </c>
      <c r="B35" s="4" t="s">
        <v>792</v>
      </c>
      <c r="C35" s="4" t="s">
        <v>329</v>
      </c>
      <c r="D35" s="4" t="s">
        <v>793</v>
      </c>
    </row>
    <row r="36">
      <c r="A36" s="4" t="s">
        <v>794</v>
      </c>
      <c r="B36" s="4" t="s">
        <v>795</v>
      </c>
      <c r="C36" s="4" t="s">
        <v>329</v>
      </c>
      <c r="D36" s="4" t="s">
        <v>796</v>
      </c>
    </row>
    <row r="37">
      <c r="A37" s="4" t="s">
        <v>797</v>
      </c>
      <c r="B37" s="4" t="s">
        <v>798</v>
      </c>
      <c r="C37" s="4" t="s">
        <v>339</v>
      </c>
      <c r="D37" s="4" t="s">
        <v>799</v>
      </c>
    </row>
    <row r="38">
      <c r="A38" s="4" t="s">
        <v>800</v>
      </c>
      <c r="B38" s="4" t="s">
        <v>801</v>
      </c>
      <c r="C38" s="4" t="s">
        <v>339</v>
      </c>
      <c r="D38" s="4" t="s">
        <v>802</v>
      </c>
    </row>
    <row r="39">
      <c r="A39" s="4" t="s">
        <v>803</v>
      </c>
      <c r="B39" s="4" t="s">
        <v>804</v>
      </c>
      <c r="C39" s="4" t="s">
        <v>329</v>
      </c>
      <c r="D39" s="4" t="s">
        <v>805</v>
      </c>
    </row>
    <row r="40">
      <c r="A40" s="4" t="s">
        <v>806</v>
      </c>
      <c r="B40" s="4" t="s">
        <v>807</v>
      </c>
      <c r="C40" s="4" t="s">
        <v>329</v>
      </c>
      <c r="D40" s="4" t="s">
        <v>808</v>
      </c>
    </row>
    <row r="41">
      <c r="A41" s="4" t="s">
        <v>809</v>
      </c>
      <c r="B41" s="4" t="s">
        <v>810</v>
      </c>
      <c r="C41" s="4" t="s">
        <v>329</v>
      </c>
      <c r="D41" s="4" t="s">
        <v>811</v>
      </c>
    </row>
    <row r="42">
      <c r="A42" s="8" t="s">
        <v>812</v>
      </c>
      <c r="B42" s="4" t="s">
        <v>813</v>
      </c>
      <c r="C42" s="4" t="s">
        <v>329</v>
      </c>
      <c r="D42" s="4" t="s">
        <v>769</v>
      </c>
    </row>
    <row r="43">
      <c r="A43" s="4" t="s">
        <v>1530</v>
      </c>
      <c r="B43" s="4" t="s">
        <v>1500</v>
      </c>
      <c r="C43" s="4" t="s">
        <v>329</v>
      </c>
      <c r="D43" s="4" t="s">
        <v>1531</v>
      </c>
    </row>
    <row r="44">
      <c r="A44" s="4" t="s">
        <v>1532</v>
      </c>
      <c r="B44" s="4" t="s">
        <v>1533</v>
      </c>
      <c r="C44" s="4" t="s">
        <v>339</v>
      </c>
      <c r="D44" s="4" t="s">
        <v>1166</v>
      </c>
    </row>
    <row r="45">
      <c r="A45" s="4" t="s">
        <v>1522</v>
      </c>
      <c r="B45" s="4" t="s">
        <v>1523</v>
      </c>
      <c r="C45" s="4" t="s">
        <v>329</v>
      </c>
      <c r="D45" s="4" t="s">
        <v>1524</v>
      </c>
    </row>
    <row r="46">
      <c r="A46" s="4" t="s">
        <v>1519</v>
      </c>
      <c r="B46" s="4" t="s">
        <v>1525</v>
      </c>
      <c r="C46" s="4" t="s">
        <v>329</v>
      </c>
      <c r="D46" s="4" t="s">
        <v>1526</v>
      </c>
    </row>
    <row r="47">
      <c r="A47" s="4" t="s">
        <v>1167</v>
      </c>
      <c r="B47" s="4" t="s">
        <v>1527</v>
      </c>
      <c r="C47" s="4" t="s">
        <v>339</v>
      </c>
      <c r="D47" s="4" t="s">
        <v>1528</v>
      </c>
    </row>
    <row r="48">
      <c r="A48" s="4" t="s">
        <v>764</v>
      </c>
      <c r="B48" s="4" t="s">
        <v>765</v>
      </c>
      <c r="C48" s="4" t="s">
        <v>329</v>
      </c>
      <c r="D48" s="4" t="s">
        <v>766</v>
      </c>
    </row>
    <row r="49">
      <c r="A49" s="4" t="s">
        <v>736</v>
      </c>
      <c r="B49" s="4" t="s">
        <v>737</v>
      </c>
      <c r="C49" s="4" t="s">
        <v>329</v>
      </c>
      <c r="D49" s="4" t="s">
        <v>738</v>
      </c>
    </row>
    <row r="50">
      <c r="A50" s="4" t="s">
        <v>739</v>
      </c>
      <c r="B50" s="4" t="s">
        <v>740</v>
      </c>
      <c r="C50" s="4" t="s">
        <v>329</v>
      </c>
      <c r="D50" s="4" t="s">
        <v>741</v>
      </c>
    </row>
    <row r="51">
      <c r="A51" s="4" t="s">
        <v>742</v>
      </c>
      <c r="B51" s="4" t="s">
        <v>743</v>
      </c>
      <c r="C51" s="4" t="s">
        <v>329</v>
      </c>
      <c r="D51" s="4" t="s">
        <v>744</v>
      </c>
    </row>
    <row r="52">
      <c r="A52" s="4" t="s">
        <v>745</v>
      </c>
      <c r="B52" s="4" t="s">
        <v>746</v>
      </c>
      <c r="C52" s="4" t="s">
        <v>329</v>
      </c>
      <c r="D52" s="4" t="s">
        <v>747</v>
      </c>
    </row>
    <row r="53">
      <c r="A53" s="4" t="s">
        <v>748</v>
      </c>
      <c r="B53" s="4" t="s">
        <v>414</v>
      </c>
      <c r="C53" s="4" t="s">
        <v>329</v>
      </c>
      <c r="D53" s="4" t="s">
        <v>749</v>
      </c>
    </row>
    <row r="54">
      <c r="A54" s="4" t="s">
        <v>750</v>
      </c>
      <c r="B54" s="4" t="s">
        <v>751</v>
      </c>
      <c r="C54" s="4" t="s">
        <v>339</v>
      </c>
      <c r="D54" s="4" t="s">
        <v>752</v>
      </c>
    </row>
    <row r="55">
      <c r="A55" s="4" t="s">
        <v>753</v>
      </c>
      <c r="B55" s="4" t="s">
        <v>754</v>
      </c>
      <c r="C55" s="4" t="s">
        <v>329</v>
      </c>
      <c r="D55" s="4" t="s">
        <v>755</v>
      </c>
    </row>
    <row r="56">
      <c r="A56" s="4" t="s">
        <v>756</v>
      </c>
      <c r="B56" s="4" t="s">
        <v>757</v>
      </c>
      <c r="C56" s="4" t="s">
        <v>329</v>
      </c>
      <c r="D56" s="4" t="s">
        <v>735</v>
      </c>
    </row>
    <row r="57">
      <c r="A57" s="4" t="s">
        <v>758</v>
      </c>
      <c r="B57" s="4" t="s">
        <v>759</v>
      </c>
      <c r="C57" s="4" t="s">
        <v>329</v>
      </c>
      <c r="D57" s="4" t="s">
        <v>760</v>
      </c>
    </row>
    <row r="58">
      <c r="A58" s="4" t="s">
        <v>761</v>
      </c>
      <c r="B58" s="4" t="s">
        <v>762</v>
      </c>
      <c r="C58" s="4" t="s">
        <v>339</v>
      </c>
      <c r="D58" s="4" t="s">
        <v>763</v>
      </c>
    </row>
    <row r="59">
      <c r="A59" s="4" t="s">
        <v>767</v>
      </c>
      <c r="B59" s="4" t="s">
        <v>768</v>
      </c>
      <c r="C59" s="4" t="s">
        <v>329</v>
      </c>
      <c r="D59" s="4" t="s">
        <v>769</v>
      </c>
    </row>
    <row r="60">
      <c r="A60" s="4" t="s">
        <v>770</v>
      </c>
      <c r="B60" s="4" t="s">
        <v>771</v>
      </c>
      <c r="C60" s="4" t="s">
        <v>329</v>
      </c>
      <c r="D60" s="4" t="s">
        <v>772</v>
      </c>
    </row>
    <row r="61">
      <c r="A61" s="4" t="s">
        <v>773</v>
      </c>
      <c r="B61" s="4" t="s">
        <v>774</v>
      </c>
      <c r="C61" s="4" t="s">
        <v>329</v>
      </c>
      <c r="D61" s="4" t="s">
        <v>775</v>
      </c>
    </row>
    <row r="62">
      <c r="A62" s="4" t="s">
        <v>776</v>
      </c>
      <c r="B62" s="4" t="s">
        <v>777</v>
      </c>
      <c r="C62" s="4" t="s">
        <v>329</v>
      </c>
      <c r="D62" s="4" t="s">
        <v>1529</v>
      </c>
    </row>
    <row r="63">
      <c r="A63" s="5"/>
      <c r="B63" s="5"/>
      <c r="C63" s="5"/>
      <c r="D63" s="5"/>
    </row>
  </sheetData>
  <hyperlinks>
    <hyperlink r:id="rId1" ref="A42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1534</v>
      </c>
      <c r="B1" s="4" t="s">
        <v>1535</v>
      </c>
      <c r="C1" s="4" t="s">
        <v>329</v>
      </c>
      <c r="D1" s="4" t="s">
        <v>1115</v>
      </c>
    </row>
    <row r="2">
      <c r="A2" s="4" t="s">
        <v>1536</v>
      </c>
      <c r="B2" s="4" t="s">
        <v>1537</v>
      </c>
      <c r="C2" s="4" t="s">
        <v>329</v>
      </c>
      <c r="D2" s="4" t="s">
        <v>1115</v>
      </c>
    </row>
    <row r="3">
      <c r="A3" s="4" t="s">
        <v>1538</v>
      </c>
      <c r="B3" s="4" t="s">
        <v>1539</v>
      </c>
      <c r="C3" s="4" t="s">
        <v>329</v>
      </c>
      <c r="D3" s="4" t="s">
        <v>1115</v>
      </c>
    </row>
    <row r="4">
      <c r="A4" s="4" t="s">
        <v>659</v>
      </c>
      <c r="B4" s="4" t="s">
        <v>1540</v>
      </c>
      <c r="C4" s="4" t="s">
        <v>329</v>
      </c>
      <c r="D4" s="4" t="s">
        <v>1115</v>
      </c>
    </row>
    <row r="5">
      <c r="A5" s="4" t="s">
        <v>1541</v>
      </c>
      <c r="B5" s="4" t="s">
        <v>1542</v>
      </c>
      <c r="C5" s="4" t="s">
        <v>329</v>
      </c>
      <c r="D5" s="4" t="s">
        <v>1115</v>
      </c>
    </row>
    <row r="6">
      <c r="A6" s="4" t="s">
        <v>1543</v>
      </c>
      <c r="B6" s="4" t="s">
        <v>1544</v>
      </c>
      <c r="C6" s="4" t="s">
        <v>329</v>
      </c>
      <c r="D6" s="4" t="s">
        <v>1115</v>
      </c>
    </row>
    <row r="7">
      <c r="A7" s="4" t="s">
        <v>1545</v>
      </c>
      <c r="B7" s="4" t="s">
        <v>1546</v>
      </c>
      <c r="C7" s="4" t="s">
        <v>329</v>
      </c>
      <c r="D7" s="4" t="s">
        <v>1115</v>
      </c>
    </row>
    <row r="8">
      <c r="A8" s="4" t="s">
        <v>1547</v>
      </c>
      <c r="B8" s="4" t="s">
        <v>1548</v>
      </c>
      <c r="C8" s="4" t="s">
        <v>329</v>
      </c>
      <c r="D8" s="4" t="s">
        <v>1115</v>
      </c>
    </row>
    <row r="9">
      <c r="A9" s="4" t="s">
        <v>1549</v>
      </c>
      <c r="B9" s="4" t="s">
        <v>1550</v>
      </c>
      <c r="C9" s="4" t="s">
        <v>329</v>
      </c>
      <c r="D9" s="4" t="s">
        <v>1115</v>
      </c>
    </row>
    <row r="10">
      <c r="A10" s="4" t="s">
        <v>1551</v>
      </c>
      <c r="B10" s="4" t="s">
        <v>1552</v>
      </c>
      <c r="C10" s="4" t="s">
        <v>339</v>
      </c>
      <c r="D10" s="4" t="s">
        <v>1114</v>
      </c>
    </row>
    <row r="11">
      <c r="A11" s="4" t="s">
        <v>1553</v>
      </c>
      <c r="B11" s="4" t="s">
        <v>1554</v>
      </c>
      <c r="C11" s="4" t="s">
        <v>339</v>
      </c>
      <c r="D11" s="4" t="s">
        <v>1555</v>
      </c>
    </row>
    <row r="12">
      <c r="A12" s="4" t="s">
        <v>1556</v>
      </c>
      <c r="B12" s="4" t="s">
        <v>1557</v>
      </c>
      <c r="C12" s="4" t="s">
        <v>339</v>
      </c>
      <c r="D12" s="4" t="s">
        <v>1558</v>
      </c>
    </row>
    <row r="13">
      <c r="A13" s="4" t="s">
        <v>1559</v>
      </c>
      <c r="B13" s="4" t="s">
        <v>1560</v>
      </c>
      <c r="C13" s="4" t="s">
        <v>339</v>
      </c>
      <c r="D13" s="4" t="s">
        <v>1114</v>
      </c>
    </row>
    <row r="14">
      <c r="A14" s="4" t="s">
        <v>1561</v>
      </c>
      <c r="B14" s="4" t="s">
        <v>1562</v>
      </c>
      <c r="C14" s="4" t="s">
        <v>339</v>
      </c>
      <c r="D14" s="4" t="s">
        <v>515</v>
      </c>
    </row>
    <row r="15">
      <c r="A15" s="4" t="s">
        <v>1563</v>
      </c>
      <c r="B15" s="4" t="s">
        <v>1564</v>
      </c>
      <c r="C15" s="4" t="s">
        <v>339</v>
      </c>
      <c r="D15" s="4" t="s">
        <v>515</v>
      </c>
    </row>
    <row r="16">
      <c r="A16" s="4" t="s">
        <v>1565</v>
      </c>
      <c r="B16" s="4" t="s">
        <v>1566</v>
      </c>
      <c r="C16" s="4" t="s">
        <v>339</v>
      </c>
      <c r="D16" s="4" t="s">
        <v>1555</v>
      </c>
    </row>
    <row r="17">
      <c r="A17" s="4" t="s">
        <v>1567</v>
      </c>
      <c r="B17" s="4" t="s">
        <v>1568</v>
      </c>
      <c r="C17" s="4" t="s">
        <v>339</v>
      </c>
      <c r="D17" s="4" t="s">
        <v>1569</v>
      </c>
    </row>
    <row r="18">
      <c r="A18" s="4" t="s">
        <v>1570</v>
      </c>
      <c r="B18" s="4" t="s">
        <v>1571</v>
      </c>
      <c r="C18" s="4" t="s">
        <v>339</v>
      </c>
      <c r="D18" s="4" t="s">
        <v>515</v>
      </c>
    </row>
    <row r="19">
      <c r="A19" s="4" t="s">
        <v>1572</v>
      </c>
      <c r="B19" s="4" t="s">
        <v>1573</v>
      </c>
      <c r="C19" s="4" t="s">
        <v>339</v>
      </c>
      <c r="D19" s="4" t="s">
        <v>1555</v>
      </c>
    </row>
    <row r="20">
      <c r="A20" s="4" t="s">
        <v>1574</v>
      </c>
      <c r="B20" s="4" t="s">
        <v>1575</v>
      </c>
      <c r="C20" s="4" t="s">
        <v>329</v>
      </c>
      <c r="D20" s="4" t="s">
        <v>1115</v>
      </c>
    </row>
    <row r="21">
      <c r="A21" s="8" t="s">
        <v>1576</v>
      </c>
      <c r="B21" s="4" t="s">
        <v>1577</v>
      </c>
      <c r="C21" s="4" t="s">
        <v>329</v>
      </c>
      <c r="D21" s="4" t="s">
        <v>1115</v>
      </c>
    </row>
    <row r="22">
      <c r="A22" s="4" t="s">
        <v>1534</v>
      </c>
      <c r="B22" s="4" t="s">
        <v>1535</v>
      </c>
      <c r="C22" s="4" t="s">
        <v>329</v>
      </c>
      <c r="D22" s="4" t="s">
        <v>1115</v>
      </c>
    </row>
    <row r="23">
      <c r="A23" s="4" t="s">
        <v>1536</v>
      </c>
      <c r="B23" s="4" t="s">
        <v>1537</v>
      </c>
      <c r="C23" s="4" t="s">
        <v>329</v>
      </c>
      <c r="D23" s="4" t="s">
        <v>1115</v>
      </c>
    </row>
    <row r="24">
      <c r="A24" s="4" t="s">
        <v>1538</v>
      </c>
      <c r="B24" s="4" t="s">
        <v>1539</v>
      </c>
      <c r="C24" s="4" t="s">
        <v>329</v>
      </c>
      <c r="D24" s="4" t="s">
        <v>1115</v>
      </c>
    </row>
    <row r="25">
      <c r="A25" s="4" t="s">
        <v>659</v>
      </c>
      <c r="B25" s="4" t="s">
        <v>1540</v>
      </c>
      <c r="C25" s="4" t="s">
        <v>329</v>
      </c>
      <c r="D25" s="4" t="s">
        <v>1115</v>
      </c>
    </row>
    <row r="26">
      <c r="A26" s="4" t="s">
        <v>1541</v>
      </c>
      <c r="B26" s="4" t="s">
        <v>1542</v>
      </c>
      <c r="C26" s="4" t="s">
        <v>329</v>
      </c>
      <c r="D26" s="4" t="s">
        <v>1115</v>
      </c>
    </row>
    <row r="27">
      <c r="A27" s="4" t="s">
        <v>1543</v>
      </c>
      <c r="B27" s="4" t="s">
        <v>1544</v>
      </c>
      <c r="C27" s="4" t="s">
        <v>329</v>
      </c>
      <c r="D27" s="4" t="s">
        <v>1115</v>
      </c>
    </row>
    <row r="28">
      <c r="A28" s="4" t="s">
        <v>1545</v>
      </c>
      <c r="B28" s="4" t="s">
        <v>1546</v>
      </c>
      <c r="C28" s="4" t="s">
        <v>329</v>
      </c>
      <c r="D28" s="4" t="s">
        <v>1115</v>
      </c>
    </row>
    <row r="29">
      <c r="A29" s="4" t="s">
        <v>1547</v>
      </c>
      <c r="B29" s="4" t="s">
        <v>1548</v>
      </c>
      <c r="C29" s="4" t="s">
        <v>329</v>
      </c>
      <c r="D29" s="4" t="s">
        <v>1115</v>
      </c>
    </row>
    <row r="30">
      <c r="A30" s="4" t="s">
        <v>1549</v>
      </c>
      <c r="B30" s="4" t="s">
        <v>1550</v>
      </c>
      <c r="C30" s="4" t="s">
        <v>329</v>
      </c>
      <c r="D30" s="4" t="s">
        <v>1115</v>
      </c>
    </row>
    <row r="31">
      <c r="A31" s="4" t="s">
        <v>1574</v>
      </c>
      <c r="B31" s="4" t="s">
        <v>1575</v>
      </c>
      <c r="C31" s="4" t="s">
        <v>329</v>
      </c>
      <c r="D31" s="4" t="s">
        <v>1115</v>
      </c>
    </row>
    <row r="32">
      <c r="A32" s="4" t="s">
        <v>1576</v>
      </c>
      <c r="B32" s="4" t="s">
        <v>1577</v>
      </c>
      <c r="C32" s="4" t="s">
        <v>329</v>
      </c>
      <c r="D32" s="4" t="s">
        <v>1115</v>
      </c>
    </row>
    <row r="33">
      <c r="A33" s="4" t="s">
        <v>1578</v>
      </c>
      <c r="B33" s="4" t="s">
        <v>1579</v>
      </c>
      <c r="C33" s="4" t="s">
        <v>329</v>
      </c>
      <c r="D33" s="4" t="s">
        <v>1580</v>
      </c>
    </row>
    <row r="34">
      <c r="A34" s="4" t="s">
        <v>1551</v>
      </c>
      <c r="B34" s="4" t="s">
        <v>1552</v>
      </c>
      <c r="C34" s="4" t="s">
        <v>339</v>
      </c>
      <c r="D34" s="4" t="s">
        <v>1114</v>
      </c>
    </row>
    <row r="35">
      <c r="A35" s="4" t="s">
        <v>1553</v>
      </c>
      <c r="B35" s="4" t="s">
        <v>1554</v>
      </c>
      <c r="C35" s="4" t="s">
        <v>339</v>
      </c>
      <c r="D35" s="4" t="s">
        <v>1555</v>
      </c>
    </row>
    <row r="36">
      <c r="A36" s="4" t="s">
        <v>1556</v>
      </c>
      <c r="B36" s="4" t="s">
        <v>1557</v>
      </c>
      <c r="C36" s="4" t="s">
        <v>339</v>
      </c>
      <c r="D36" s="4" t="s">
        <v>1558</v>
      </c>
    </row>
    <row r="37">
      <c r="A37" s="4" t="s">
        <v>1559</v>
      </c>
      <c r="B37" s="4" t="s">
        <v>1560</v>
      </c>
      <c r="C37" s="4" t="s">
        <v>339</v>
      </c>
      <c r="D37" s="4" t="s">
        <v>1114</v>
      </c>
    </row>
    <row r="38">
      <c r="A38" s="4" t="s">
        <v>1561</v>
      </c>
      <c r="B38" s="4" t="s">
        <v>1562</v>
      </c>
      <c r="C38" s="4" t="s">
        <v>339</v>
      </c>
      <c r="D38" s="4" t="s">
        <v>515</v>
      </c>
    </row>
    <row r="39">
      <c r="A39" s="4" t="s">
        <v>1563</v>
      </c>
      <c r="B39" s="4" t="s">
        <v>1564</v>
      </c>
      <c r="C39" s="4" t="s">
        <v>339</v>
      </c>
      <c r="D39" s="4" t="s">
        <v>515</v>
      </c>
    </row>
    <row r="40">
      <c r="A40" s="4" t="s">
        <v>1565</v>
      </c>
      <c r="B40" s="4" t="s">
        <v>1566</v>
      </c>
      <c r="C40" s="4" t="s">
        <v>339</v>
      </c>
      <c r="D40" s="4" t="s">
        <v>1555</v>
      </c>
    </row>
    <row r="41">
      <c r="A41" s="4" t="s">
        <v>1567</v>
      </c>
      <c r="B41" s="4" t="s">
        <v>1568</v>
      </c>
      <c r="C41" s="4" t="s">
        <v>339</v>
      </c>
      <c r="D41" s="4" t="s">
        <v>1569</v>
      </c>
    </row>
    <row r="42">
      <c r="A42" s="4" t="s">
        <v>1570</v>
      </c>
      <c r="B42" s="4" t="s">
        <v>1571</v>
      </c>
      <c r="C42" s="4" t="s">
        <v>339</v>
      </c>
      <c r="D42" s="4" t="s">
        <v>515</v>
      </c>
    </row>
    <row r="43">
      <c r="A43" s="4" t="s">
        <v>1572</v>
      </c>
      <c r="B43" s="4" t="s">
        <v>1573</v>
      </c>
      <c r="C43" s="4" t="s">
        <v>339</v>
      </c>
      <c r="D43" s="4" t="s">
        <v>1555</v>
      </c>
    </row>
    <row r="44">
      <c r="A44" s="4" t="s">
        <v>1581</v>
      </c>
      <c r="B44" s="4" t="s">
        <v>1582</v>
      </c>
      <c r="C44" s="4" t="s">
        <v>339</v>
      </c>
      <c r="D44" s="4" t="s">
        <v>1583</v>
      </c>
    </row>
    <row r="45">
      <c r="A45" s="4" t="s">
        <v>1584</v>
      </c>
      <c r="B45" s="4" t="s">
        <v>1585</v>
      </c>
      <c r="C45" s="4" t="s">
        <v>339</v>
      </c>
      <c r="D45" s="4" t="s">
        <v>1114</v>
      </c>
    </row>
    <row r="46">
      <c r="A46" s="15"/>
      <c r="B46" s="15"/>
      <c r="C46" s="15"/>
      <c r="D46" s="15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5"/>
      <c r="B121" s="5"/>
      <c r="C121" s="5"/>
      <c r="D121" s="5"/>
    </row>
  </sheetData>
  <hyperlinks>
    <hyperlink r:id="rId1" ref="A21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1586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6</v>
      </c>
      <c r="I1" s="1" t="s">
        <v>7</v>
      </c>
    </row>
    <row r="2">
      <c r="A2" s="1" t="s">
        <v>1587</v>
      </c>
      <c r="B2" s="1" t="s">
        <v>1588</v>
      </c>
      <c r="I2" s="1">
        <v>1.0</v>
      </c>
    </row>
    <row r="3">
      <c r="B3" s="1" t="s">
        <v>1589</v>
      </c>
      <c r="C3" s="1" t="s">
        <v>1590</v>
      </c>
      <c r="I3" s="1" t="s">
        <v>325</v>
      </c>
    </row>
    <row r="4">
      <c r="B4" s="1" t="s">
        <v>1591</v>
      </c>
      <c r="D4" s="16" t="s">
        <v>1592</v>
      </c>
      <c r="I4" s="1" t="s">
        <v>325</v>
      </c>
    </row>
    <row r="5">
      <c r="A5" s="1"/>
      <c r="B5" s="1" t="s">
        <v>1593</v>
      </c>
      <c r="C5" s="1" t="s">
        <v>1594</v>
      </c>
      <c r="D5" s="10" t="s">
        <v>1595</v>
      </c>
      <c r="E5" s="16" t="s">
        <v>1596</v>
      </c>
      <c r="I5" s="1">
        <v>1.0</v>
      </c>
    </row>
    <row r="6">
      <c r="B6" s="1" t="s">
        <v>1597</v>
      </c>
      <c r="C6" s="18" t="s">
        <v>1598</v>
      </c>
      <c r="D6" s="16" t="s">
        <v>1599</v>
      </c>
      <c r="E6" s="10" t="s">
        <v>1600</v>
      </c>
      <c r="I6" s="1">
        <v>1.0</v>
      </c>
    </row>
    <row r="7">
      <c r="B7" s="1" t="s">
        <v>1601</v>
      </c>
      <c r="C7" s="1" t="s">
        <v>1602</v>
      </c>
      <c r="D7" s="10" t="s">
        <v>1603</v>
      </c>
      <c r="E7" s="10" t="s">
        <v>1604</v>
      </c>
      <c r="I7" s="1">
        <v>1.0</v>
      </c>
    </row>
    <row r="8">
      <c r="A8" s="1" t="s">
        <v>1605</v>
      </c>
      <c r="B8" s="1" t="s">
        <v>1606</v>
      </c>
      <c r="C8" s="1" t="s">
        <v>1602</v>
      </c>
      <c r="D8" s="16" t="s">
        <v>1607</v>
      </c>
      <c r="I8" s="1" t="s">
        <v>325</v>
      </c>
    </row>
    <row r="9">
      <c r="B9" s="1" t="s">
        <v>1608</v>
      </c>
      <c r="C9" s="1" t="s">
        <v>1602</v>
      </c>
      <c r="D9" s="16" t="s">
        <v>1609</v>
      </c>
      <c r="I9" s="1" t="s">
        <v>325</v>
      </c>
    </row>
    <row r="20">
      <c r="A20" s="1" t="s">
        <v>195</v>
      </c>
      <c r="B20" s="1" t="s">
        <v>1610</v>
      </c>
      <c r="C20" s="1" t="s">
        <v>1602</v>
      </c>
      <c r="D20" s="10" t="s">
        <v>1611</v>
      </c>
      <c r="E20" s="10" t="s">
        <v>1612</v>
      </c>
    </row>
    <row r="21">
      <c r="B21" s="1" t="s">
        <v>831</v>
      </c>
      <c r="C21" s="1" t="s">
        <v>1602</v>
      </c>
      <c r="D21" s="10" t="s">
        <v>832</v>
      </c>
      <c r="E21" s="10" t="s">
        <v>1613</v>
      </c>
    </row>
    <row r="31">
      <c r="A31" s="1" t="s">
        <v>129</v>
      </c>
      <c r="B31" s="1" t="s">
        <v>1614</v>
      </c>
      <c r="C31" s="1" t="s">
        <v>1602</v>
      </c>
      <c r="D31" s="10" t="s">
        <v>1615</v>
      </c>
      <c r="E31" s="10" t="s">
        <v>1616</v>
      </c>
    </row>
    <row r="32">
      <c r="B32" s="1" t="s">
        <v>1617</v>
      </c>
    </row>
    <row r="33">
      <c r="B33" s="1" t="s">
        <v>1618</v>
      </c>
      <c r="D33" s="10" t="s">
        <v>1619</v>
      </c>
      <c r="E33" s="16" t="s">
        <v>1620</v>
      </c>
    </row>
    <row r="34">
      <c r="B34" s="1" t="s">
        <v>1621</v>
      </c>
      <c r="C34" s="1" t="s">
        <v>1602</v>
      </c>
      <c r="D34" s="10" t="s">
        <v>1622</v>
      </c>
      <c r="E34" s="10" t="s">
        <v>1623</v>
      </c>
    </row>
    <row r="35">
      <c r="B35" s="1" t="s">
        <v>1624</v>
      </c>
      <c r="C35" s="1" t="s">
        <v>1602</v>
      </c>
      <c r="D35" s="10" t="s">
        <v>1625</v>
      </c>
      <c r="E35" s="10" t="s">
        <v>1626</v>
      </c>
    </row>
    <row r="36">
      <c r="B36" s="19" t="s">
        <v>1627</v>
      </c>
      <c r="D36" s="16" t="s">
        <v>1628</v>
      </c>
      <c r="E36" s="10" t="s">
        <v>1629</v>
      </c>
    </row>
    <row r="37">
      <c r="B37" s="20" t="s">
        <v>1630</v>
      </c>
      <c r="C37" s="1" t="s">
        <v>1631</v>
      </c>
      <c r="E37" s="16" t="s">
        <v>1632</v>
      </c>
    </row>
    <row r="38">
      <c r="B38" s="1" t="s">
        <v>1633</v>
      </c>
      <c r="C38" s="1" t="s">
        <v>1602</v>
      </c>
      <c r="D38" s="10" t="s">
        <v>1634</v>
      </c>
      <c r="E38" s="10" t="s">
        <v>1635</v>
      </c>
    </row>
    <row r="39">
      <c r="B39" s="1" t="s">
        <v>1636</v>
      </c>
      <c r="C39" s="1" t="s">
        <v>1602</v>
      </c>
      <c r="D39" s="10" t="s">
        <v>1637</v>
      </c>
      <c r="E39" s="10" t="s">
        <v>1638</v>
      </c>
    </row>
    <row r="54">
      <c r="A54" s="1" t="s">
        <v>116</v>
      </c>
      <c r="B54" s="1" t="s">
        <v>1639</v>
      </c>
      <c r="C54" s="1" t="s">
        <v>1640</v>
      </c>
      <c r="D54" s="10" t="s">
        <v>1460</v>
      </c>
      <c r="E54" s="16" t="s">
        <v>1641</v>
      </c>
    </row>
    <row r="55">
      <c r="B55" s="1" t="s">
        <v>1642</v>
      </c>
      <c r="C55" s="1" t="s">
        <v>1643</v>
      </c>
      <c r="D55" s="10" t="s">
        <v>1644</v>
      </c>
      <c r="E55" s="10" t="s">
        <v>1645</v>
      </c>
    </row>
    <row r="56">
      <c r="B56" s="1" t="s">
        <v>1646</v>
      </c>
      <c r="C56" s="1" t="s">
        <v>1647</v>
      </c>
      <c r="D56" s="10" t="s">
        <v>1648</v>
      </c>
      <c r="E56" s="10" t="s">
        <v>1649</v>
      </c>
    </row>
    <row r="57">
      <c r="B57" s="1" t="s">
        <v>1650</v>
      </c>
      <c r="C57" s="1" t="s">
        <v>1602</v>
      </c>
      <c r="D57" s="16" t="s">
        <v>1651</v>
      </c>
      <c r="E57" s="10" t="s">
        <v>1652</v>
      </c>
    </row>
    <row r="60">
      <c r="A60" s="1"/>
    </row>
    <row r="63">
      <c r="C63" s="10" t="s">
        <v>1653</v>
      </c>
    </row>
    <row r="70">
      <c r="A70" s="1" t="s">
        <v>1654</v>
      </c>
      <c r="B70" s="1" t="s">
        <v>1655</v>
      </c>
      <c r="C70" s="1" t="s">
        <v>1602</v>
      </c>
      <c r="D70" s="10" t="s">
        <v>1656</v>
      </c>
    </row>
    <row r="71">
      <c r="B71" s="1" t="s">
        <v>1271</v>
      </c>
      <c r="C71" s="1" t="s">
        <v>1657</v>
      </c>
      <c r="E71" s="10" t="s">
        <v>1641</v>
      </c>
    </row>
  </sheetData>
  <hyperlinks>
    <hyperlink r:id="rId1" ref="D4"/>
    <hyperlink r:id="rId2" ref="D5"/>
    <hyperlink r:id="rId3" ref="E5"/>
    <hyperlink r:id="rId4" ref="D6"/>
    <hyperlink r:id="rId5" ref="E6"/>
    <hyperlink r:id="rId6" ref="D7"/>
    <hyperlink r:id="rId7" ref="E7"/>
    <hyperlink r:id="rId8" ref="D8"/>
    <hyperlink r:id="rId9" ref="D9"/>
    <hyperlink r:id="rId10" ref="D20"/>
    <hyperlink r:id="rId11" ref="E20"/>
    <hyperlink r:id="rId12" ref="D21"/>
    <hyperlink r:id="rId13" ref="E21"/>
    <hyperlink r:id="rId14" ref="D31"/>
    <hyperlink r:id="rId15" ref="E31"/>
    <hyperlink r:id="rId16" ref="D33"/>
    <hyperlink r:id="rId17" ref="E33"/>
    <hyperlink r:id="rId18" ref="D34"/>
    <hyperlink r:id="rId19" ref="E34"/>
    <hyperlink r:id="rId20" ref="D35"/>
    <hyperlink r:id="rId21" ref="E35"/>
    <hyperlink r:id="rId22" ref="D36"/>
    <hyperlink r:id="rId23" ref="E36"/>
    <hyperlink r:id="rId24" ref="E37"/>
    <hyperlink r:id="rId25" ref="D38"/>
    <hyperlink r:id="rId26" ref="E38"/>
    <hyperlink r:id="rId27" ref="D39"/>
    <hyperlink r:id="rId28" ref="E39"/>
    <hyperlink r:id="rId29" ref="D54"/>
    <hyperlink r:id="rId30" ref="E54"/>
    <hyperlink r:id="rId31" ref="D55"/>
    <hyperlink r:id="rId32" ref="E55"/>
    <hyperlink r:id="rId33" ref="D56"/>
    <hyperlink r:id="rId34" ref="E56"/>
    <hyperlink r:id="rId35" ref="D57"/>
    <hyperlink r:id="rId36" ref="E57"/>
    <hyperlink r:id="rId37" ref="C63"/>
    <hyperlink r:id="rId38" ref="D70"/>
    <hyperlink r:id="rId39" ref="E71"/>
  </hyperlinks>
  <drawing r:id="rId4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1658</v>
      </c>
      <c r="B1" s="22" t="s">
        <v>1659</v>
      </c>
      <c r="C1" s="21" t="s">
        <v>339</v>
      </c>
      <c r="D1" s="21" t="s">
        <v>1660</v>
      </c>
    </row>
    <row r="2">
      <c r="A2" s="21" t="s">
        <v>1661</v>
      </c>
      <c r="B2" s="22" t="s">
        <v>1662</v>
      </c>
      <c r="C2" s="21" t="s">
        <v>339</v>
      </c>
      <c r="D2" s="21" t="s">
        <v>1663</v>
      </c>
    </row>
    <row r="3">
      <c r="A3" s="21" t="s">
        <v>1664</v>
      </c>
      <c r="B3" s="22" t="s">
        <v>1665</v>
      </c>
      <c r="C3" s="21" t="s">
        <v>339</v>
      </c>
      <c r="D3" s="21" t="s">
        <v>1666</v>
      </c>
    </row>
    <row r="4">
      <c r="A4" s="21" t="s">
        <v>1667</v>
      </c>
      <c r="B4" s="22" t="s">
        <v>1668</v>
      </c>
      <c r="C4" s="21" t="s">
        <v>339</v>
      </c>
      <c r="D4" s="21" t="s">
        <v>1669</v>
      </c>
    </row>
    <row r="5">
      <c r="A5" s="21" t="s">
        <v>1670</v>
      </c>
      <c r="B5" s="22" t="s">
        <v>1671</v>
      </c>
      <c r="C5" s="21" t="s">
        <v>339</v>
      </c>
      <c r="D5" s="21" t="s">
        <v>1672</v>
      </c>
    </row>
    <row r="6">
      <c r="A6" s="21" t="s">
        <v>1673</v>
      </c>
      <c r="B6" s="22" t="s">
        <v>1674</v>
      </c>
      <c r="C6" s="21" t="s">
        <v>339</v>
      </c>
      <c r="D6" s="21" t="s">
        <v>1675</v>
      </c>
    </row>
    <row r="7">
      <c r="A7" s="21" t="s">
        <v>1676</v>
      </c>
      <c r="B7" s="22" t="s">
        <v>1677</v>
      </c>
      <c r="C7" s="21" t="s">
        <v>339</v>
      </c>
      <c r="D7" s="21" t="s">
        <v>1678</v>
      </c>
    </row>
    <row r="8">
      <c r="A8" s="21" t="s">
        <v>828</v>
      </c>
      <c r="B8" s="22" t="s">
        <v>829</v>
      </c>
      <c r="C8" s="21" t="s">
        <v>339</v>
      </c>
      <c r="D8" s="21" t="s">
        <v>1679</v>
      </c>
    </row>
    <row r="9">
      <c r="A9" s="21" t="s">
        <v>1680</v>
      </c>
      <c r="B9" s="22" t="s">
        <v>1681</v>
      </c>
      <c r="C9" s="21" t="s">
        <v>339</v>
      </c>
      <c r="D9" s="21" t="s">
        <v>1682</v>
      </c>
    </row>
    <row r="10">
      <c r="A10" s="21" t="s">
        <v>1683</v>
      </c>
      <c r="B10" s="22" t="s">
        <v>1684</v>
      </c>
      <c r="C10" s="21" t="s">
        <v>339</v>
      </c>
      <c r="D10" s="21" t="s">
        <v>1685</v>
      </c>
    </row>
    <row r="11">
      <c r="A11" s="21" t="s">
        <v>1686</v>
      </c>
      <c r="B11" s="22" t="s">
        <v>1687</v>
      </c>
      <c r="C11" s="21" t="s">
        <v>339</v>
      </c>
      <c r="D11" s="21" t="s">
        <v>1688</v>
      </c>
    </row>
    <row r="12">
      <c r="A12" s="21" t="s">
        <v>1689</v>
      </c>
      <c r="B12" s="22" t="s">
        <v>1690</v>
      </c>
      <c r="C12" s="21" t="s">
        <v>339</v>
      </c>
      <c r="D12" s="21" t="s">
        <v>1691</v>
      </c>
    </row>
    <row r="13">
      <c r="A13" s="21" t="s">
        <v>1692</v>
      </c>
      <c r="B13" s="22" t="s">
        <v>1693</v>
      </c>
      <c r="C13" s="21" t="s">
        <v>339</v>
      </c>
      <c r="D13" s="21" t="s">
        <v>1663</v>
      </c>
    </row>
    <row r="14">
      <c r="A14" s="21" t="s">
        <v>1694</v>
      </c>
      <c r="B14" s="22" t="s">
        <v>1695</v>
      </c>
      <c r="C14" s="21" t="s">
        <v>339</v>
      </c>
      <c r="D14" s="21" t="s">
        <v>1696</v>
      </c>
    </row>
    <row r="15">
      <c r="A15" s="21" t="s">
        <v>1697</v>
      </c>
      <c r="B15" s="22" t="s">
        <v>1698</v>
      </c>
      <c r="C15" s="21" t="s">
        <v>339</v>
      </c>
      <c r="D15" s="21" t="s">
        <v>1699</v>
      </c>
    </row>
    <row r="16">
      <c r="A16" s="21" t="s">
        <v>1700</v>
      </c>
      <c r="B16" s="22" t="s">
        <v>1701</v>
      </c>
      <c r="C16" s="21" t="s">
        <v>339</v>
      </c>
      <c r="D16" s="21" t="s">
        <v>1702</v>
      </c>
    </row>
    <row r="17">
      <c r="A17" s="21" t="s">
        <v>1703</v>
      </c>
      <c r="B17" s="22" t="s">
        <v>1704</v>
      </c>
      <c r="C17" s="21" t="s">
        <v>339</v>
      </c>
      <c r="D17" s="21" t="s">
        <v>1702</v>
      </c>
    </row>
    <row r="18">
      <c r="A18" s="21" t="s">
        <v>1705</v>
      </c>
      <c r="B18" s="22" t="s">
        <v>1706</v>
      </c>
      <c r="C18" s="21" t="s">
        <v>339</v>
      </c>
      <c r="D18" s="21" t="s">
        <v>1707</v>
      </c>
    </row>
    <row r="19">
      <c r="A19" s="21" t="s">
        <v>1708</v>
      </c>
      <c r="B19" s="22" t="s">
        <v>1709</v>
      </c>
      <c r="C19" s="21" t="s">
        <v>339</v>
      </c>
      <c r="D19" s="21" t="s">
        <v>1707</v>
      </c>
    </row>
    <row r="20">
      <c r="A20" s="21" t="s">
        <v>1710</v>
      </c>
      <c r="B20" s="22" t="s">
        <v>1711</v>
      </c>
      <c r="C20" s="21" t="s">
        <v>339</v>
      </c>
      <c r="D20" s="21" t="s">
        <v>1707</v>
      </c>
    </row>
    <row r="21">
      <c r="A21" s="21" t="s">
        <v>1712</v>
      </c>
      <c r="B21" s="22" t="s">
        <v>1713</v>
      </c>
      <c r="C21" s="21" t="s">
        <v>339</v>
      </c>
      <c r="D21" s="21" t="s">
        <v>1707</v>
      </c>
    </row>
    <row r="22">
      <c r="A22" s="21" t="s">
        <v>1714</v>
      </c>
      <c r="B22" s="22" t="s">
        <v>1715</v>
      </c>
      <c r="C22" s="21" t="s">
        <v>339</v>
      </c>
      <c r="D22" s="21" t="s">
        <v>1707</v>
      </c>
    </row>
    <row r="23">
      <c r="A23" s="21" t="s">
        <v>1716</v>
      </c>
      <c r="B23" s="22" t="s">
        <v>1717</v>
      </c>
      <c r="C23" s="21" t="s">
        <v>339</v>
      </c>
      <c r="D23" s="21" t="s">
        <v>1718</v>
      </c>
    </row>
    <row r="24">
      <c r="A24" s="21" t="s">
        <v>1719</v>
      </c>
      <c r="B24" s="22" t="s">
        <v>1720</v>
      </c>
      <c r="C24" s="21" t="s">
        <v>339</v>
      </c>
      <c r="D24" s="21" t="s">
        <v>1718</v>
      </c>
    </row>
    <row r="25">
      <c r="A25" s="21" t="s">
        <v>1721</v>
      </c>
      <c r="B25" s="22" t="s">
        <v>1722</v>
      </c>
      <c r="C25" s="21" t="s">
        <v>339</v>
      </c>
      <c r="D25" s="21" t="s">
        <v>1718</v>
      </c>
    </row>
    <row r="26">
      <c r="A26" s="21" t="s">
        <v>1723</v>
      </c>
      <c r="B26" s="22" t="s">
        <v>835</v>
      </c>
      <c r="C26" s="21" t="s">
        <v>339</v>
      </c>
      <c r="D26" s="21" t="s">
        <v>1718</v>
      </c>
    </row>
    <row r="27">
      <c r="A27" s="21" t="s">
        <v>1724</v>
      </c>
      <c r="B27" s="22" t="s">
        <v>1725</v>
      </c>
      <c r="C27" s="21" t="s">
        <v>339</v>
      </c>
      <c r="D27" s="21" t="s">
        <v>1718</v>
      </c>
    </row>
    <row r="28">
      <c r="A28" s="21" t="s">
        <v>1726</v>
      </c>
      <c r="B28" s="22" t="s">
        <v>1727</v>
      </c>
      <c r="C28" s="21" t="s">
        <v>339</v>
      </c>
      <c r="D28" s="21" t="s">
        <v>1728</v>
      </c>
    </row>
    <row r="29">
      <c r="A29" s="21" t="s">
        <v>1729</v>
      </c>
      <c r="B29" s="22" t="s">
        <v>1730</v>
      </c>
      <c r="C29" s="21" t="s">
        <v>339</v>
      </c>
      <c r="D29" s="21" t="s">
        <v>1731</v>
      </c>
    </row>
    <row r="30">
      <c r="A30" s="21" t="s">
        <v>1732</v>
      </c>
      <c r="B30" s="22" t="s">
        <v>1733</v>
      </c>
      <c r="C30" s="21" t="s">
        <v>339</v>
      </c>
      <c r="D30" s="21" t="s">
        <v>1718</v>
      </c>
    </row>
    <row r="31">
      <c r="A31" s="21" t="s">
        <v>1734</v>
      </c>
      <c r="B31" s="22" t="s">
        <v>1735</v>
      </c>
      <c r="C31" s="21" t="s">
        <v>339</v>
      </c>
      <c r="D31" s="21" t="s">
        <v>1702</v>
      </c>
    </row>
    <row r="32">
      <c r="A32" s="21" t="s">
        <v>1736</v>
      </c>
      <c r="B32" s="22" t="s">
        <v>1737</v>
      </c>
      <c r="C32" s="21" t="s">
        <v>339</v>
      </c>
      <c r="D32" s="21" t="s">
        <v>1738</v>
      </c>
    </row>
    <row r="33">
      <c r="A33" s="21" t="s">
        <v>1739</v>
      </c>
      <c r="B33" s="22" t="s">
        <v>1740</v>
      </c>
      <c r="C33" s="21" t="s">
        <v>339</v>
      </c>
      <c r="D33" s="21" t="s">
        <v>1741</v>
      </c>
    </row>
    <row r="34">
      <c r="A34" s="21" t="s">
        <v>1742</v>
      </c>
      <c r="B34" s="22" t="s">
        <v>1743</v>
      </c>
      <c r="C34" s="21" t="s">
        <v>339</v>
      </c>
      <c r="D34" s="21" t="s">
        <v>1685</v>
      </c>
    </row>
    <row r="35">
      <c r="A35" s="21" t="s">
        <v>1744</v>
      </c>
      <c r="B35" s="22" t="s">
        <v>1745</v>
      </c>
      <c r="C35" s="21" t="s">
        <v>339</v>
      </c>
      <c r="D35" s="21" t="s">
        <v>1746</v>
      </c>
    </row>
    <row r="36">
      <c r="A36" s="21" t="s">
        <v>1747</v>
      </c>
      <c r="B36" s="22" t="s">
        <v>1468</v>
      </c>
      <c r="C36" s="21" t="s">
        <v>339</v>
      </c>
      <c r="D36" s="21" t="s">
        <v>1748</v>
      </c>
    </row>
    <row r="37">
      <c r="A37" s="23"/>
      <c r="B37" s="23"/>
      <c r="C37" s="23"/>
      <c r="D37" s="23"/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</hyperlinks>
  <drawing r:id="rId37"/>
</worksheet>
</file>